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NU\Desktop\"/>
    </mc:Choice>
  </mc:AlternateContent>
  <xr:revisionPtr revIDLastSave="0" documentId="13_ncr:1_{CC378B48-CE38-4DDC-8FD8-25A1BB655C62}" xr6:coauthVersionLast="36" xr6:coauthVersionMax="36" xr10:uidLastSave="{00000000-0000-0000-0000-000000000000}"/>
  <bookViews>
    <workbookView xWindow="0" yWindow="0" windowWidth="9324" windowHeight="264" xr2:uid="{7D54EF7D-9AF0-415F-BFC4-CED19BE80959}"/>
  </bookViews>
  <sheets>
    <sheet name="Dashboard" sheetId="1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4" l="1"/>
  <c r="J7" i="4"/>
  <c r="I7" i="4"/>
  <c r="H7" i="4"/>
  <c r="C36" i="1"/>
  <c r="C56" i="1"/>
  <c r="E56" i="1" s="1"/>
  <c r="C57" i="1"/>
  <c r="E57" i="1" s="1"/>
  <c r="C58" i="1"/>
  <c r="E58" i="1" s="1"/>
  <c r="C59" i="1"/>
  <c r="E59" i="1" s="1"/>
  <c r="C60" i="1"/>
  <c r="E60" i="1" s="1"/>
  <c r="C61" i="1"/>
  <c r="E61" i="1" s="1"/>
  <c r="C62" i="1"/>
  <c r="E62" i="1" s="1"/>
  <c r="C63" i="1"/>
  <c r="E63" i="1" s="1"/>
  <c r="C64" i="1"/>
  <c r="E64" i="1" s="1"/>
  <c r="C65" i="1"/>
  <c r="E65" i="1" s="1"/>
  <c r="C66" i="1"/>
  <c r="E66" i="1" s="1"/>
  <c r="C67" i="1"/>
  <c r="E67" i="1" s="1"/>
  <c r="C68" i="1"/>
  <c r="E68" i="1" s="1"/>
  <c r="C69" i="1"/>
  <c r="E69" i="1" s="1"/>
  <c r="C70" i="1"/>
  <c r="E70" i="1" s="1"/>
  <c r="C71" i="1"/>
  <c r="E71" i="1" s="1"/>
  <c r="C72" i="1"/>
  <c r="E72" i="1" s="1"/>
  <c r="C73" i="1"/>
  <c r="E73" i="1" s="1"/>
  <c r="C74" i="1"/>
  <c r="E74" i="1" s="1"/>
  <c r="C75" i="1"/>
  <c r="E75" i="1" s="1"/>
  <c r="C76" i="1"/>
  <c r="E76" i="1" s="1"/>
  <c r="C77" i="1"/>
  <c r="E77" i="1" s="1"/>
  <c r="C78" i="1"/>
  <c r="E78" i="1" s="1"/>
  <c r="C79" i="1"/>
  <c r="E79" i="1" s="1"/>
  <c r="C80" i="1"/>
  <c r="E80" i="1" s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7" i="1"/>
  <c r="E87" i="1" s="1"/>
  <c r="C88" i="1"/>
  <c r="E88" i="1" s="1"/>
  <c r="C89" i="1"/>
  <c r="E89" i="1" s="1"/>
  <c r="C90" i="1"/>
  <c r="E90" i="1" s="1"/>
  <c r="C91" i="1"/>
  <c r="E91" i="1" s="1"/>
  <c r="C92" i="1"/>
  <c r="E92" i="1" s="1"/>
  <c r="C93" i="1"/>
  <c r="E93" i="1" s="1"/>
  <c r="C94" i="1"/>
  <c r="E94" i="1" s="1"/>
  <c r="C95" i="1"/>
  <c r="E95" i="1" s="1"/>
  <c r="C96" i="1"/>
  <c r="E96" i="1" s="1"/>
  <c r="C97" i="1"/>
  <c r="E97" i="1" s="1"/>
  <c r="C98" i="1"/>
  <c r="E98" i="1" s="1"/>
  <c r="C99" i="1"/>
  <c r="E99" i="1" s="1"/>
  <c r="C100" i="1"/>
  <c r="E100" i="1" s="1"/>
  <c r="C101" i="1"/>
  <c r="E101" i="1" s="1"/>
  <c r="C102" i="1"/>
  <c r="E102" i="1" s="1"/>
  <c r="C103" i="1"/>
  <c r="E103" i="1" s="1"/>
  <c r="C104" i="1"/>
  <c r="E104" i="1" s="1"/>
  <c r="C105" i="1"/>
  <c r="E105" i="1" s="1"/>
  <c r="C106" i="1"/>
  <c r="E106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5" i="1"/>
  <c r="E55" i="1" s="1"/>
  <c r="C54" i="1"/>
  <c r="E54" i="1" s="1"/>
  <c r="C6" i="1"/>
  <c r="F21" i="1"/>
  <c r="E21" i="1"/>
  <c r="D21" i="1"/>
  <c r="C21" i="1"/>
  <c r="G50" i="1" l="1"/>
  <c r="G74" i="1"/>
  <c r="G61" i="1"/>
  <c r="G60" i="1"/>
  <c r="G66" i="1"/>
  <c r="G95" i="1"/>
  <c r="G84" i="1"/>
  <c r="G70" i="1"/>
  <c r="G58" i="1"/>
  <c r="G94" i="1"/>
  <c r="G82" i="1"/>
  <c r="G69" i="1"/>
  <c r="G55" i="1"/>
  <c r="G100" i="1"/>
  <c r="G93" i="1"/>
  <c r="G78" i="1"/>
  <c r="G106" i="1"/>
  <c r="G79" i="1"/>
  <c r="G54" i="1"/>
  <c r="G103" i="1"/>
  <c r="G92" i="1"/>
  <c r="G53" i="1"/>
  <c r="G102" i="1"/>
  <c r="G90" i="1"/>
  <c r="G77" i="1"/>
  <c r="G63" i="1"/>
  <c r="G52" i="1"/>
  <c r="G68" i="1"/>
  <c r="G56" i="1"/>
  <c r="G101" i="1"/>
  <c r="G87" i="1"/>
  <c r="G76" i="1"/>
  <c r="G62" i="1"/>
  <c r="G86" i="1"/>
  <c r="G98" i="1"/>
  <c r="G85" i="1"/>
  <c r="G71" i="1"/>
  <c r="G46" i="1"/>
  <c r="G47" i="1" s="1"/>
  <c r="G48" i="1" s="1"/>
  <c r="G99" i="1"/>
  <c r="G91" i="1"/>
  <c r="G83" i="1"/>
  <c r="G75" i="1"/>
  <c r="G67" i="1"/>
  <c r="G59" i="1"/>
  <c r="G51" i="1"/>
  <c r="G105" i="1"/>
  <c r="G97" i="1"/>
  <c r="G89" i="1"/>
  <c r="G81" i="1"/>
  <c r="G73" i="1"/>
  <c r="G65" i="1"/>
  <c r="G57" i="1"/>
  <c r="G49" i="1"/>
  <c r="G104" i="1"/>
  <c r="G96" i="1"/>
  <c r="G88" i="1"/>
  <c r="G80" i="1"/>
  <c r="G72" i="1"/>
  <c r="G64" i="1"/>
  <c r="C37" i="1" l="1"/>
  <c r="C39" i="1" s="1"/>
  <c r="D107" i="1"/>
  <c r="C3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3F7F73-14C1-4CFE-B1A2-576C08E02113}" keepAlive="1" name="Query - hdfc" description="Connection to the 'hdfc' query in the workbook." type="5" refreshedVersion="6" background="1">
    <dbPr connection="Provider=Microsoft.Mashup.OleDb.1;Data Source=$Workbook$;Location=hdfc;Extended Properties=&quot;&quot;" command="SELECT * FROM [hdfc]"/>
  </connection>
  <connection id="2" xr16:uid="{10067FBF-6902-4370-B589-76A89B798789}" keepAlive="1" name="Query - hdfc (2)" description="Connection to the 'hdfc (2)' query in the workbook." type="5" refreshedVersion="6" background="1">
    <dbPr connection="Provider=Microsoft.Mashup.OleDb.1;Data Source=$Workbook$;Location=hdfc (2);Extended Properties=&quot;&quot;" command="SELECT * FROM [hdfc (2)]"/>
  </connection>
</connections>
</file>

<file path=xl/sharedStrings.xml><?xml version="1.0" encoding="utf-8"?>
<sst xmlns="http://schemas.openxmlformats.org/spreadsheetml/2006/main" count="69" uniqueCount="50">
  <si>
    <t>HDFC Focused 30 Fund Direct-Growth</t>
  </si>
  <si>
    <t>1 Yr</t>
  </si>
  <si>
    <t>3 Yr</t>
  </si>
  <si>
    <t>10 Yr</t>
  </si>
  <si>
    <t>Rolling Return %</t>
  </si>
  <si>
    <t>Trailing Return %</t>
  </si>
  <si>
    <t>Absolute Return %</t>
  </si>
  <si>
    <t>5 Yr</t>
  </si>
  <si>
    <t>Fund Name</t>
  </si>
  <si>
    <t>AMC Name</t>
  </si>
  <si>
    <t>Fund Type</t>
  </si>
  <si>
    <t>Category</t>
  </si>
  <si>
    <t>Plan</t>
  </si>
  <si>
    <t>Option</t>
  </si>
  <si>
    <t>Inception Date</t>
  </si>
  <si>
    <t>HDFC</t>
  </si>
  <si>
    <t>Equity</t>
  </si>
  <si>
    <t>Direct</t>
  </si>
  <si>
    <t>Growth</t>
  </si>
  <si>
    <t>Date of Analysis</t>
  </si>
  <si>
    <t>Analyst</t>
  </si>
  <si>
    <t>Chinmay C K</t>
  </si>
  <si>
    <t>Performance</t>
  </si>
  <si>
    <t>Return</t>
  </si>
  <si>
    <t>Benchmark</t>
  </si>
  <si>
    <t>Alpha</t>
  </si>
  <si>
    <t>Beta</t>
  </si>
  <si>
    <t>Sharpe ratio</t>
  </si>
  <si>
    <t>Standard Deviation</t>
  </si>
  <si>
    <t>Expense Ratio</t>
  </si>
  <si>
    <t>Risk &amp; Ratio Summary</t>
  </si>
  <si>
    <t>Nifty 500 TRI</t>
  </si>
  <si>
    <t>Equity Focused</t>
  </si>
  <si>
    <t>Treynor Ratio</t>
  </si>
  <si>
    <t>SIP Analysis</t>
  </si>
  <si>
    <t>SIP Start Date</t>
  </si>
  <si>
    <t>Monthly Amount</t>
  </si>
  <si>
    <t>Total Amount Invested</t>
  </si>
  <si>
    <t>Current Value</t>
  </si>
  <si>
    <t>XIRR (%)</t>
  </si>
  <si>
    <t>NAV</t>
  </si>
  <si>
    <t>Date</t>
  </si>
  <si>
    <t>SIP</t>
  </si>
  <si>
    <t>NAV Allocated</t>
  </si>
  <si>
    <t>Total NAV</t>
  </si>
  <si>
    <t>Peer Comparison Graphs</t>
  </si>
  <si>
    <t>Industry Average</t>
  </si>
  <si>
    <t>Turnover Ratio</t>
  </si>
  <si>
    <t>Asset Allocation ( From ET Money)</t>
  </si>
  <si>
    <t>Total Returns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</si>
</sst>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73" formatCode="_ [$₹-4009]\ * #,##0.00_ ;_ [$₹-4009]\ * \-#,##0.00_ ;_ [$₹-4009]\ * &quot;-&quot;??_ ;_ @_ "/>
    <numFmt numFmtId="181" formatCode="&quot;₹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33" borderId="0" xfId="0" applyFill="1"/>
    <xf numFmtId="9" fontId="0" fillId="33" borderId="0" xfId="1" applyFont="1" applyFill="1"/>
    <xf numFmtId="10" fontId="0" fillId="33" borderId="0" xfId="1" applyNumberFormat="1" applyFont="1" applyFill="1"/>
    <xf numFmtId="10" fontId="0" fillId="33" borderId="0" xfId="0" applyNumberFormat="1" applyFill="1"/>
    <xf numFmtId="0" fontId="16" fillId="33" borderId="0" xfId="0" applyFont="1" applyFill="1"/>
    <xf numFmtId="0" fontId="16" fillId="33" borderId="11" xfId="0" applyFont="1" applyFill="1" applyBorder="1"/>
    <xf numFmtId="0" fontId="18" fillId="33" borderId="0" xfId="0" applyFont="1" applyFill="1"/>
    <xf numFmtId="0" fontId="19" fillId="33" borderId="10" xfId="3" applyFont="1" applyFill="1" applyBorder="1" applyAlignment="1">
      <alignment horizontal="center" vertical="center"/>
    </xf>
    <xf numFmtId="164" fontId="0" fillId="33" borderId="0" xfId="0" applyNumberFormat="1" applyFill="1"/>
    <xf numFmtId="164" fontId="0" fillId="33" borderId="0" xfId="0" applyNumberFormat="1" applyFill="1" applyAlignment="1">
      <alignment horizontal="left"/>
    </xf>
    <xf numFmtId="0" fontId="0" fillId="33" borderId="0" xfId="0" applyFill="1" applyAlignment="1">
      <alignment horizontal="left"/>
    </xf>
    <xf numFmtId="0" fontId="16" fillId="33" borderId="10" xfId="0" applyFont="1" applyFill="1" applyBorder="1" applyAlignment="1">
      <alignment horizontal="left"/>
    </xf>
    <xf numFmtId="0" fontId="0" fillId="33" borderId="10" xfId="0" applyFill="1" applyBorder="1"/>
    <xf numFmtId="0" fontId="16" fillId="33" borderId="0" xfId="0" applyFont="1" applyFill="1" applyBorder="1"/>
    <xf numFmtId="0" fontId="0" fillId="33" borderId="0" xfId="0" applyFill="1" applyBorder="1"/>
    <xf numFmtId="0" fontId="18" fillId="33" borderId="10" xfId="0" applyFont="1" applyFill="1" applyBorder="1"/>
    <xf numFmtId="0" fontId="18" fillId="33" borderId="10" xfId="0" applyFont="1" applyFill="1" applyBorder="1" applyAlignment="1">
      <alignment horizontal="left"/>
    </xf>
    <xf numFmtId="10" fontId="0" fillId="33" borderId="0" xfId="0" applyNumberFormat="1" applyFont="1" applyFill="1"/>
    <xf numFmtId="173" fontId="0" fillId="33" borderId="0" xfId="0" applyNumberFormat="1" applyFill="1"/>
    <xf numFmtId="173" fontId="0" fillId="33" borderId="0" xfId="0" applyNumberFormat="1" applyFill="1" applyAlignment="1">
      <alignment horizontal="right"/>
    </xf>
    <xf numFmtId="0" fontId="4" fillId="33" borderId="2" xfId="4" applyFill="1" applyAlignment="1">
      <alignment horizontal="center"/>
    </xf>
    <xf numFmtId="0" fontId="0" fillId="33" borderId="0" xfId="0" applyFill="1" applyAlignment="1">
      <alignment wrapText="1"/>
    </xf>
    <xf numFmtId="2" fontId="0" fillId="33" borderId="0" xfId="0" applyNumberFormat="1" applyFill="1"/>
    <xf numFmtId="181" fontId="0" fillId="33" borderId="0" xfId="0" applyNumberFormat="1" applyFill="1"/>
    <xf numFmtId="0" fontId="0" fillId="33" borderId="0" xfId="0" applyFont="1" applyFill="1"/>
    <xf numFmtId="173" fontId="0" fillId="33" borderId="0" xfId="0" applyNumberFormat="1" applyFill="1" applyAlignment="1"/>
    <xf numFmtId="0" fontId="0" fillId="33" borderId="11" xfId="0" applyFont="1" applyFill="1" applyBorder="1"/>
    <xf numFmtId="0" fontId="18" fillId="33" borderId="0" xfId="0" applyFont="1" applyFill="1" applyBorder="1" applyAlignment="1">
      <alignment horizontal="left"/>
    </xf>
    <xf numFmtId="0" fontId="4" fillId="33" borderId="2" xfId="4" applyFill="1" applyAlignment="1">
      <alignment horizontal="left"/>
    </xf>
    <xf numFmtId="14" fontId="0" fillId="33" borderId="0" xfId="0" applyNumberFormat="1" applyFill="1" applyAlignment="1">
      <alignment horizontal="left"/>
    </xf>
    <xf numFmtId="0" fontId="16" fillId="33" borderId="12" xfId="0" applyFont="1" applyFill="1" applyBorder="1" applyAlignment="1">
      <alignment horizontal="left"/>
    </xf>
    <xf numFmtId="0" fontId="16" fillId="33" borderId="12" xfId="0" applyFont="1" applyFill="1" applyBorder="1"/>
    <xf numFmtId="164" fontId="0" fillId="33" borderId="0" xfId="0" applyNumberFormat="1" applyFill="1" applyAlignment="1">
      <alignment wrapText="1"/>
    </xf>
    <xf numFmtId="0" fontId="16" fillId="33" borderId="12" xfId="0" applyFont="1" applyFill="1" applyBorder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Trailing</a:t>
            </a:r>
            <a:r>
              <a:rPr lang="en-IN" baseline="0"/>
              <a:t> Return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037383177570093E-2"/>
          <c:y val="0.33481361312248031"/>
          <c:w val="0.93146417445482865"/>
          <c:h val="0.53565948728770718"/>
        </c:manualLayout>
      </c:layout>
      <c:barChart>
        <c:barDir val="col"/>
        <c:grouping val="clustered"/>
        <c:varyColors val="0"/>
        <c:ser>
          <c:idx val="0"/>
          <c:order val="0"/>
          <c:tx>
            <c:v>HDFC Focused 30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Dashboard!$C$18:$F$18</c:f>
              <c:strCache>
                <c:ptCount val="4"/>
                <c:pt idx="0">
                  <c:v>1 Yr</c:v>
                </c:pt>
                <c:pt idx="1">
                  <c:v>3 Yr</c:v>
                </c:pt>
                <c:pt idx="2">
                  <c:v>5 Yr</c:v>
                </c:pt>
                <c:pt idx="3">
                  <c:v>10 Yr</c:v>
                </c:pt>
              </c:strCache>
            </c:strRef>
          </c:cat>
          <c:val>
            <c:numRef>
              <c:f>Dashboard!$C$19:$F$19</c:f>
              <c:numCache>
                <c:formatCode>0.00%</c:formatCode>
                <c:ptCount val="4"/>
                <c:pt idx="0">
                  <c:v>0.16750000000000001</c:v>
                </c:pt>
                <c:pt idx="1">
                  <c:v>0.26150000000000001</c:v>
                </c:pt>
                <c:pt idx="2">
                  <c:v>0.32669999999999999</c:v>
                </c:pt>
                <c:pt idx="3">
                  <c:v>0.1552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B-4427-B116-C8132665046A}"/>
            </c:ext>
          </c:extLst>
        </c:ser>
        <c:ser>
          <c:idx val="1"/>
          <c:order val="1"/>
          <c:tx>
            <c:v>Category Avg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Dashboard!$C$18:$F$18</c:f>
              <c:strCache>
                <c:ptCount val="4"/>
                <c:pt idx="0">
                  <c:v>1 Yr</c:v>
                </c:pt>
                <c:pt idx="1">
                  <c:v>3 Yr</c:v>
                </c:pt>
                <c:pt idx="2">
                  <c:v>5 Yr</c:v>
                </c:pt>
                <c:pt idx="3">
                  <c:v>10 Yr</c:v>
                </c:pt>
              </c:strCache>
            </c:strRef>
          </c:cat>
          <c:val>
            <c:numRef>
              <c:f>Sheet1!$H$5:$K$5</c:f>
              <c:numCache>
                <c:formatCode>0.00%</c:formatCode>
                <c:ptCount val="4"/>
                <c:pt idx="0">
                  <c:v>7.1999999999999995E-2</c:v>
                </c:pt>
                <c:pt idx="1">
                  <c:v>0.1779</c:v>
                </c:pt>
                <c:pt idx="2">
                  <c:v>0.24149999999999999</c:v>
                </c:pt>
                <c:pt idx="3">
                  <c:v>0.14069999999999999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ACB-4427-B116-C813266504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977948351"/>
        <c:axId val="621886399"/>
      </c:barChart>
      <c:catAx>
        <c:axId val="97794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86399"/>
        <c:crosses val="autoZero"/>
        <c:auto val="1"/>
        <c:lblAlgn val="ctr"/>
        <c:lblOffset val="100"/>
        <c:noMultiLvlLbl val="0"/>
      </c:catAx>
      <c:valAx>
        <c:axId val="62188639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7794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Risk</a:t>
            </a:r>
            <a:r>
              <a:rPr lang="en-IN" baseline="0"/>
              <a:t>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HDFC Focused 30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Sheet1!$G$11:$G$15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Sharpe ratio</c:v>
                </c:pt>
                <c:pt idx="3">
                  <c:v>Treynor Ratio</c:v>
                </c:pt>
                <c:pt idx="4">
                  <c:v>Standard Deviation</c:v>
                </c:pt>
              </c:strCache>
            </c:strRef>
          </c:cat>
          <c:val>
            <c:numRef>
              <c:f>Dashboard!$C$25:$C$29</c:f>
              <c:numCache>
                <c:formatCode>General</c:formatCode>
                <c:ptCount val="5"/>
                <c:pt idx="0">
                  <c:v>10.27</c:v>
                </c:pt>
                <c:pt idx="1">
                  <c:v>0.75</c:v>
                </c:pt>
                <c:pt idx="2">
                  <c:v>1.49</c:v>
                </c:pt>
                <c:pt idx="3">
                  <c:v>0.21</c:v>
                </c:pt>
                <c:pt idx="4">
                  <c:v>11.43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C-4DC8-9A75-A74FFD8BAC5C}"/>
            </c:ext>
          </c:extLst>
        </c:ser>
        <c:ser>
          <c:idx val="1"/>
          <c:order val="1"/>
          <c:tx>
            <c:v>Category Avg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Sheet1!$G$11:$G$15</c:f>
              <c:strCache>
                <c:ptCount val="5"/>
                <c:pt idx="0">
                  <c:v>Alpha</c:v>
                </c:pt>
                <c:pt idx="1">
                  <c:v>Beta</c:v>
                </c:pt>
                <c:pt idx="2">
                  <c:v>Sharpe ratio</c:v>
                </c:pt>
                <c:pt idx="3">
                  <c:v>Treynor Ratio</c:v>
                </c:pt>
                <c:pt idx="4">
                  <c:v>Standard Deviation</c:v>
                </c:pt>
              </c:strCache>
            </c:strRef>
          </c:cat>
          <c:val>
            <c:numRef>
              <c:f>Sheet1!$H$11:$H$15</c:f>
              <c:numCache>
                <c:formatCode>General</c:formatCode>
                <c:ptCount val="5"/>
                <c:pt idx="0">
                  <c:v>5.7</c:v>
                </c:pt>
                <c:pt idx="1">
                  <c:v>1.01</c:v>
                </c:pt>
                <c:pt idx="2">
                  <c:v>0.68</c:v>
                </c:pt>
                <c:pt idx="3">
                  <c:v>0.1</c:v>
                </c:pt>
                <c:pt idx="4">
                  <c:v>13.6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C-4DC8-9A75-A74FFD8BAC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874145583"/>
        <c:axId val="1891497567"/>
      </c:barChart>
      <c:catAx>
        <c:axId val="187414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497567"/>
        <c:crosses val="autoZero"/>
        <c:auto val="1"/>
        <c:lblAlgn val="ctr"/>
        <c:lblOffset val="100"/>
        <c:noMultiLvlLbl val="0"/>
      </c:catAx>
      <c:valAx>
        <c:axId val="1891497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14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7</xdr:row>
      <xdr:rowOff>106680</xdr:rowOff>
    </xdr:from>
    <xdr:to>
      <xdr:col>14</xdr:col>
      <xdr:colOff>411480</xdr:colOff>
      <xdr:row>19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97EA7B-215E-46D1-979E-AB56765EA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586740</xdr:colOff>
      <xdr:row>21</xdr:row>
      <xdr:rowOff>76200</xdr:rowOff>
    </xdr:from>
    <xdr:to>
      <xdr:col>14</xdr:col>
      <xdr:colOff>403860</xdr:colOff>
      <xdr:row>35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5675C9-4A47-44F6-A9D6-E35976B13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527395</xdr:colOff>
      <xdr:row>7</xdr:row>
      <xdr:rowOff>123999</xdr:rowOff>
    </xdr:from>
    <xdr:to>
      <xdr:col>27</xdr:col>
      <xdr:colOff>471055</xdr:colOff>
      <xdr:row>34</xdr:row>
      <xdr:rowOff>4474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69BC93-3998-43FB-9729-AED47EF6A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53435" y="1571799"/>
          <a:ext cx="7258860" cy="4896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A667-BC15-4151-9693-8D6014671477}">
  <dimension ref="B3:V107"/>
  <sheetViews>
    <sheetView tabSelected="1" zoomScaleNormal="100" workbookViewId="0">
      <selection activeCell="F25" sqref="F25"/>
    </sheetView>
  </sheetViews>
  <sheetFormatPr defaultRowHeight="14.4" x14ac:dyDescent="0.3"/>
  <cols>
    <col min="1" max="1" width="6.44140625" style="1" customWidth="1"/>
    <col min="2" max="2" width="19.6640625" style="1" customWidth="1"/>
    <col min="3" max="3" width="14.21875" style="1" customWidth="1"/>
    <col min="4" max="4" width="11" style="1" bestFit="1" customWidth="1"/>
    <col min="5" max="16384" width="8.88671875" style="1"/>
  </cols>
  <sheetData>
    <row r="3" spans="2:22" ht="24" thickBot="1" x14ac:dyDescent="0.35">
      <c r="B3" s="8" t="s">
        <v>0</v>
      </c>
      <c r="C3" s="8"/>
      <c r="D3" s="8"/>
      <c r="E3" s="8"/>
      <c r="F3" s="8"/>
      <c r="G3" s="8"/>
    </row>
    <row r="6" spans="2:22" ht="18" thickBot="1" x14ac:dyDescent="0.4">
      <c r="B6" s="16" t="s">
        <v>8</v>
      </c>
      <c r="C6" s="17" t="str">
        <f>B3</f>
        <v>HDFC Focused 30 Fund Direct-Growth</v>
      </c>
      <c r="D6" s="17"/>
      <c r="E6" s="17"/>
      <c r="F6" s="17"/>
      <c r="I6" s="21" t="s">
        <v>45</v>
      </c>
      <c r="J6" s="21"/>
      <c r="K6" s="21"/>
      <c r="Q6" s="29" t="s">
        <v>48</v>
      </c>
      <c r="R6" s="29"/>
      <c r="S6" s="29"/>
      <c r="T6" s="29"/>
      <c r="U6" s="29"/>
      <c r="V6" s="29"/>
    </row>
    <row r="7" spans="2:22" x14ac:dyDescent="0.3">
      <c r="B7" s="1" t="s">
        <v>9</v>
      </c>
      <c r="C7" s="11" t="s">
        <v>15</v>
      </c>
    </row>
    <row r="8" spans="2:22" x14ac:dyDescent="0.3">
      <c r="B8" s="1" t="s">
        <v>10</v>
      </c>
      <c r="C8" s="11" t="s">
        <v>16</v>
      </c>
    </row>
    <row r="9" spans="2:22" x14ac:dyDescent="0.3">
      <c r="B9" s="1" t="s">
        <v>11</v>
      </c>
      <c r="C9" s="11" t="s">
        <v>32</v>
      </c>
    </row>
    <row r="10" spans="2:22" x14ac:dyDescent="0.3">
      <c r="B10" s="1" t="s">
        <v>12</v>
      </c>
      <c r="C10" s="11" t="s">
        <v>17</v>
      </c>
    </row>
    <row r="11" spans="2:22" x14ac:dyDescent="0.3">
      <c r="B11" s="1" t="s">
        <v>13</v>
      </c>
      <c r="C11" s="11" t="s">
        <v>18</v>
      </c>
    </row>
    <row r="12" spans="2:22" x14ac:dyDescent="0.3">
      <c r="B12" s="1" t="s">
        <v>14</v>
      </c>
      <c r="C12" s="30">
        <v>41275</v>
      </c>
    </row>
    <row r="13" spans="2:22" x14ac:dyDescent="0.3">
      <c r="B13" s="1" t="s">
        <v>19</v>
      </c>
      <c r="C13" s="10">
        <v>45780</v>
      </c>
    </row>
    <row r="14" spans="2:22" x14ac:dyDescent="0.3">
      <c r="B14" s="1" t="s">
        <v>20</v>
      </c>
      <c r="C14" s="11" t="s">
        <v>21</v>
      </c>
    </row>
    <row r="15" spans="2:22" x14ac:dyDescent="0.3">
      <c r="C15" s="11"/>
    </row>
    <row r="16" spans="2:22" ht="16.2" thickBot="1" x14ac:dyDescent="0.35">
      <c r="B16" s="16" t="s">
        <v>22</v>
      </c>
      <c r="C16" s="13"/>
      <c r="D16" s="13"/>
      <c r="E16" s="13"/>
      <c r="F16" s="13"/>
    </row>
    <row r="17" spans="2:6" x14ac:dyDescent="0.3">
      <c r="B17" s="14"/>
      <c r="C17" s="15"/>
      <c r="D17" s="15"/>
      <c r="E17" s="15"/>
      <c r="F17" s="15"/>
    </row>
    <row r="18" spans="2:6" x14ac:dyDescent="0.3">
      <c r="B18" s="6" t="s">
        <v>23</v>
      </c>
      <c r="C18" s="6" t="s">
        <v>1</v>
      </c>
      <c r="D18" s="6" t="s">
        <v>2</v>
      </c>
      <c r="E18" s="6" t="s">
        <v>7</v>
      </c>
      <c r="F18" s="6" t="s">
        <v>3</v>
      </c>
    </row>
    <row r="19" spans="2:6" x14ac:dyDescent="0.3">
      <c r="B19" s="5" t="s">
        <v>5</v>
      </c>
      <c r="C19" s="3">
        <v>0.16750000000000001</v>
      </c>
      <c r="D19" s="3">
        <v>0.26150000000000001</v>
      </c>
      <c r="E19" s="3">
        <v>0.32669999999999999</v>
      </c>
      <c r="F19" s="3">
        <v>0.1552</v>
      </c>
    </row>
    <row r="20" spans="2:6" x14ac:dyDescent="0.3">
      <c r="B20" s="5" t="s">
        <v>4</v>
      </c>
      <c r="C20" s="18">
        <v>0.188</v>
      </c>
      <c r="D20" s="18">
        <v>0.17199999999999999</v>
      </c>
      <c r="E20" s="18">
        <v>0.161</v>
      </c>
      <c r="F20" s="18">
        <v>0.17699999999999999</v>
      </c>
    </row>
    <row r="21" spans="2:6" x14ac:dyDescent="0.3">
      <c r="B21" s="5" t="s">
        <v>6</v>
      </c>
      <c r="C21" s="3">
        <f>(1+C19)^1-1</f>
        <v>0.16749999999999998</v>
      </c>
      <c r="D21" s="3">
        <f>(1+D19)^3-1</f>
        <v>1.0075287083750002</v>
      </c>
      <c r="E21" s="3">
        <f>(1+E19)^5-1</f>
        <v>3.1102065376029531</v>
      </c>
      <c r="F21" s="3">
        <f>(1+F19)^10-1</f>
        <v>3.2322547614067698</v>
      </c>
    </row>
    <row r="22" spans="2:6" ht="15.6" x14ac:dyDescent="0.3">
      <c r="B22" s="7"/>
      <c r="C22" s="3"/>
      <c r="D22" s="3"/>
      <c r="E22" s="3"/>
      <c r="F22" s="3"/>
    </row>
    <row r="23" spans="2:6" ht="16.2" thickBot="1" x14ac:dyDescent="0.35">
      <c r="B23" s="17" t="s">
        <v>30</v>
      </c>
      <c r="C23" s="17"/>
    </row>
    <row r="24" spans="2:6" x14ac:dyDescent="0.3">
      <c r="B24" s="5" t="s">
        <v>24</v>
      </c>
      <c r="C24" s="1" t="s">
        <v>31</v>
      </c>
    </row>
    <row r="25" spans="2:6" x14ac:dyDescent="0.3">
      <c r="B25" s="5" t="s">
        <v>25</v>
      </c>
      <c r="C25" s="1">
        <v>10.27</v>
      </c>
    </row>
    <row r="26" spans="2:6" x14ac:dyDescent="0.3">
      <c r="B26" s="5" t="s">
        <v>26</v>
      </c>
      <c r="C26" s="1">
        <v>0.75</v>
      </c>
    </row>
    <row r="27" spans="2:6" x14ac:dyDescent="0.3">
      <c r="B27" s="5" t="s">
        <v>27</v>
      </c>
      <c r="C27" s="1">
        <v>1.49</v>
      </c>
    </row>
    <row r="28" spans="2:6" x14ac:dyDescent="0.3">
      <c r="B28" s="5" t="s">
        <v>33</v>
      </c>
      <c r="C28" s="1">
        <v>0.21</v>
      </c>
    </row>
    <row r="29" spans="2:6" x14ac:dyDescent="0.3">
      <c r="B29" s="5" t="s">
        <v>28</v>
      </c>
      <c r="C29" s="1">
        <v>11.43</v>
      </c>
    </row>
    <row r="30" spans="2:6" x14ac:dyDescent="0.3">
      <c r="B30" s="5" t="s">
        <v>29</v>
      </c>
      <c r="C30" s="4">
        <v>8.0999999999999996E-3</v>
      </c>
    </row>
    <row r="31" spans="2:6" x14ac:dyDescent="0.3">
      <c r="B31" s="5" t="s">
        <v>47</v>
      </c>
      <c r="C31" s="4">
        <v>0.30730000000000002</v>
      </c>
    </row>
    <row r="33" spans="2:7" ht="16.2" thickBot="1" x14ac:dyDescent="0.35">
      <c r="B33" s="17" t="s">
        <v>34</v>
      </c>
      <c r="C33" s="17"/>
    </row>
    <row r="34" spans="2:7" x14ac:dyDescent="0.3">
      <c r="B34" s="1" t="s">
        <v>35</v>
      </c>
      <c r="C34" s="9">
        <v>43955</v>
      </c>
    </row>
    <row r="35" spans="2:7" x14ac:dyDescent="0.3">
      <c r="B35" s="1" t="s">
        <v>36</v>
      </c>
      <c r="C35" s="20">
        <v>60.86</v>
      </c>
    </row>
    <row r="36" spans="2:7" x14ac:dyDescent="0.3">
      <c r="B36" s="1" t="s">
        <v>37</v>
      </c>
      <c r="C36" s="26">
        <f>-1*SUM(D46:D106)</f>
        <v>305000</v>
      </c>
    </row>
    <row r="37" spans="2:7" x14ac:dyDescent="0.3">
      <c r="B37" s="1" t="s">
        <v>38</v>
      </c>
      <c r="C37" s="24">
        <f>G106*C106</f>
        <v>589284.52360421396</v>
      </c>
    </row>
    <row r="38" spans="2:7" x14ac:dyDescent="0.3">
      <c r="B38" s="1" t="s">
        <v>39</v>
      </c>
      <c r="C38" s="2">
        <f>XIRR(D46:D107,B46:B107)</f>
        <v>0.27071207165718081</v>
      </c>
    </row>
    <row r="39" spans="2:7" x14ac:dyDescent="0.3">
      <c r="B39" s="1" t="s">
        <v>49</v>
      </c>
      <c r="C39" s="2">
        <f>C37/C36-1</f>
        <v>0.9320804052597178</v>
      </c>
    </row>
    <row r="43" spans="2:7" ht="16.2" thickBot="1" x14ac:dyDescent="0.35">
      <c r="B43" s="17" t="s">
        <v>34</v>
      </c>
      <c r="C43" s="17"/>
    </row>
    <row r="44" spans="2:7" ht="15.6" x14ac:dyDescent="0.3">
      <c r="B44" s="28"/>
      <c r="C44" s="28"/>
    </row>
    <row r="45" spans="2:7" ht="15" thickBot="1" x14ac:dyDescent="0.35">
      <c r="B45" s="34" t="s">
        <v>41</v>
      </c>
      <c r="C45" s="32" t="s">
        <v>40</v>
      </c>
      <c r="D45" s="32" t="s">
        <v>42</v>
      </c>
      <c r="E45" s="31" t="s">
        <v>43</v>
      </c>
      <c r="F45" s="31"/>
      <c r="G45" s="32" t="s">
        <v>44</v>
      </c>
    </row>
    <row r="46" spans="2:7" x14ac:dyDescent="0.3">
      <c r="B46" s="10">
        <v>43955</v>
      </c>
      <c r="C46" s="1">
        <f>INDEX(Sheet1!$1:$1048576,MATCH(Dashboard!B46,Sheet1!E:E,0),2)</f>
        <v>60.863999999999997</v>
      </c>
      <c r="D46" s="19">
        <v>-5000</v>
      </c>
      <c r="E46" s="23">
        <f>-1*D46/C46</f>
        <v>82.150368033648789</v>
      </c>
      <c r="G46" s="23">
        <f>E46</f>
        <v>82.150368033648789</v>
      </c>
    </row>
    <row r="47" spans="2:7" x14ac:dyDescent="0.3">
      <c r="B47" s="10">
        <v>43986</v>
      </c>
      <c r="C47" s="1">
        <f>INDEX(Sheet1!$1:$1048576,MATCH(Dashboard!B47,Sheet1!E:E,0),2)</f>
        <v>64.221000000000004</v>
      </c>
      <c r="D47" s="19">
        <v>-5000</v>
      </c>
      <c r="E47" s="23">
        <f t="shared" ref="E47:E106" si="0">-1*D47/C47</f>
        <v>77.856152971769347</v>
      </c>
      <c r="G47" s="23">
        <f>G46+E47</f>
        <v>160.00652100541814</v>
      </c>
    </row>
    <row r="48" spans="2:7" x14ac:dyDescent="0.3">
      <c r="B48" s="10">
        <v>44018</v>
      </c>
      <c r="C48" s="1">
        <f>INDEX(Sheet1!$1:$1048576,MATCH(Dashboard!B48,Sheet1!E:E,0),2)</f>
        <v>70.150000000000006</v>
      </c>
      <c r="D48" s="19">
        <v>-5000</v>
      </c>
      <c r="E48" s="23">
        <f t="shared" si="0"/>
        <v>71.275837491090513</v>
      </c>
      <c r="G48" s="23">
        <f>G47+E48</f>
        <v>231.28235849650866</v>
      </c>
    </row>
    <row r="49" spans="2:7" x14ac:dyDescent="0.3">
      <c r="B49" s="10">
        <v>44047</v>
      </c>
      <c r="C49" s="1">
        <f>INDEX(Sheet1!$1:$1048576,MATCH(Dashboard!B49,Sheet1!E:E,0),2)</f>
        <v>71.009</v>
      </c>
      <c r="D49" s="19">
        <v>-5000</v>
      </c>
      <c r="E49" s="23">
        <f t="shared" si="0"/>
        <v>70.413609542452363</v>
      </c>
      <c r="G49" s="23">
        <f>SUM(E$46:E49)</f>
        <v>301.69596803896104</v>
      </c>
    </row>
    <row r="50" spans="2:7" x14ac:dyDescent="0.3">
      <c r="B50" s="10">
        <v>44078</v>
      </c>
      <c r="C50" s="1">
        <f>INDEX(Sheet1!$1:$1048576,MATCH(Dashboard!B50,Sheet1!E:E,0),2)</f>
        <v>72.376999999999995</v>
      </c>
      <c r="D50" s="19">
        <v>-5000</v>
      </c>
      <c r="E50" s="23">
        <f t="shared" si="0"/>
        <v>69.082719648507123</v>
      </c>
      <c r="G50" s="23">
        <f>SUM(E$46:E50)</f>
        <v>370.77868768746816</v>
      </c>
    </row>
    <row r="51" spans="2:7" x14ac:dyDescent="0.3">
      <c r="B51" s="10">
        <v>44109</v>
      </c>
      <c r="C51" s="1">
        <f>INDEX(Sheet1!$1:$1048576,MATCH(Dashboard!B51,Sheet1!E:E,0),2)</f>
        <v>70.902000000000001</v>
      </c>
      <c r="D51" s="19">
        <v>-5000</v>
      </c>
      <c r="E51" s="23">
        <f t="shared" si="0"/>
        <v>70.51987250007052</v>
      </c>
      <c r="G51" s="23">
        <f>SUM(E$46:E51)</f>
        <v>441.29856018753867</v>
      </c>
    </row>
    <row r="52" spans="2:7" x14ac:dyDescent="0.3">
      <c r="B52" s="10">
        <v>44139</v>
      </c>
      <c r="C52" s="1">
        <f>INDEX(Sheet1!$1:$1048576,MATCH(Dashboard!B52,Sheet1!E:E,0),2)</f>
        <v>71.930000000000007</v>
      </c>
      <c r="D52" s="19">
        <v>-5000</v>
      </c>
      <c r="E52" s="23">
        <f t="shared" si="0"/>
        <v>69.512025580425401</v>
      </c>
      <c r="G52" s="23">
        <f>SUM(E$46:E52)</f>
        <v>510.81058576796408</v>
      </c>
    </row>
    <row r="53" spans="2:7" x14ac:dyDescent="0.3">
      <c r="B53" s="10">
        <v>44169</v>
      </c>
      <c r="C53" s="1">
        <f>INDEX(Sheet1!$1:$1048576,MATCH(Dashboard!B53,Sheet1!E:E,0),2)</f>
        <v>81.543999999999997</v>
      </c>
      <c r="D53" s="19">
        <v>-5000</v>
      </c>
      <c r="E53" s="23">
        <f t="shared" si="0"/>
        <v>61.316589816540763</v>
      </c>
      <c r="G53" s="23">
        <f>SUM(E$46:E53)</f>
        <v>572.12717558450481</v>
      </c>
    </row>
    <row r="54" spans="2:7" x14ac:dyDescent="0.3">
      <c r="B54" s="10">
        <v>44200</v>
      </c>
      <c r="C54" s="1">
        <f>INDEX(Sheet1!$1:$1048576,MATCH(Dashboard!B54,Sheet1!E:E,0),2)</f>
        <v>87.971000000000004</v>
      </c>
      <c r="D54" s="19">
        <v>-5000</v>
      </c>
      <c r="E54" s="23">
        <f t="shared" si="0"/>
        <v>56.83691216423594</v>
      </c>
      <c r="G54" s="23">
        <f>SUM(E$46:E54)</f>
        <v>628.96408774874078</v>
      </c>
    </row>
    <row r="55" spans="2:7" x14ac:dyDescent="0.3">
      <c r="B55" s="10">
        <v>44231</v>
      </c>
      <c r="C55" s="1">
        <f>INDEX(Sheet1!$1:$1048576,MATCH(Dashboard!B55,Sheet1!E:E,0),2)</f>
        <v>95.016999999999996</v>
      </c>
      <c r="D55" s="19">
        <v>-5000</v>
      </c>
      <c r="E55" s="23">
        <f t="shared" si="0"/>
        <v>52.622162349895284</v>
      </c>
      <c r="G55" s="23">
        <f>SUM(E$46:E55)</f>
        <v>681.58625009863601</v>
      </c>
    </row>
    <row r="56" spans="2:7" x14ac:dyDescent="0.3">
      <c r="B56" s="10">
        <v>44259</v>
      </c>
      <c r="C56" s="1">
        <f>INDEX(Sheet1!$1:$1048576,MATCH(Dashboard!B56,Sheet1!E:E,0),2)</f>
        <v>98.858000000000004</v>
      </c>
      <c r="D56" s="19">
        <v>-5000</v>
      </c>
      <c r="E56" s="23">
        <f t="shared" si="0"/>
        <v>50.577596148010272</v>
      </c>
      <c r="G56" s="23">
        <f>SUM(E$46:E56)</f>
        <v>732.16384624664624</v>
      </c>
    </row>
    <row r="57" spans="2:7" x14ac:dyDescent="0.3">
      <c r="B57" s="10">
        <v>44291</v>
      </c>
      <c r="C57" s="1">
        <f>INDEX(Sheet1!$1:$1048576,MATCH(Dashboard!B57,Sheet1!E:E,0),2)</f>
        <v>95.08</v>
      </c>
      <c r="D57" s="19">
        <v>-5000</v>
      </c>
      <c r="E57" s="23">
        <f t="shared" si="0"/>
        <v>52.587294909549854</v>
      </c>
      <c r="G57" s="23">
        <f>SUM(E$46:E57)</f>
        <v>784.75114115619613</v>
      </c>
    </row>
    <row r="58" spans="2:7" x14ac:dyDescent="0.3">
      <c r="B58" s="10">
        <v>44320</v>
      </c>
      <c r="C58" s="1">
        <f>INDEX(Sheet1!$1:$1048576,MATCH(Dashboard!B58,Sheet1!E:E,0),2)</f>
        <v>94.635000000000005</v>
      </c>
      <c r="D58" s="19">
        <v>-5000</v>
      </c>
      <c r="E58" s="23">
        <f t="shared" si="0"/>
        <v>52.834574945844558</v>
      </c>
      <c r="G58" s="23">
        <f>SUM(E$46:E58)</f>
        <v>837.58571610204069</v>
      </c>
    </row>
    <row r="59" spans="2:7" x14ac:dyDescent="0.3">
      <c r="B59" s="10">
        <v>44351</v>
      </c>
      <c r="C59" s="1">
        <f>INDEX(Sheet1!$1:$1048576,MATCH(Dashboard!B59,Sheet1!E:E,0),2)</f>
        <v>104.15</v>
      </c>
      <c r="D59" s="19">
        <v>-5000</v>
      </c>
      <c r="E59" s="23">
        <f t="shared" si="0"/>
        <v>48.007681228996638</v>
      </c>
      <c r="G59" s="23">
        <f>SUM(E$46:E59)</f>
        <v>885.59339733103729</v>
      </c>
    </row>
    <row r="60" spans="2:7" x14ac:dyDescent="0.3">
      <c r="B60" s="10">
        <v>44382</v>
      </c>
      <c r="C60" s="1">
        <f>INDEX(Sheet1!$1:$1048576,MATCH(Dashboard!B60,Sheet1!E:E,0),2)</f>
        <v>106.22499999999999</v>
      </c>
      <c r="D60" s="19">
        <v>-5000</v>
      </c>
      <c r="E60" s="23">
        <f t="shared" si="0"/>
        <v>47.069898799717585</v>
      </c>
      <c r="G60" s="23">
        <f>SUM(E$46:E60)</f>
        <v>932.66329613075493</v>
      </c>
    </row>
    <row r="61" spans="2:7" x14ac:dyDescent="0.3">
      <c r="B61" s="10">
        <v>44412</v>
      </c>
      <c r="C61" s="1">
        <f>INDEX(Sheet1!$1:$1048576,MATCH(Dashboard!B61,Sheet1!E:E,0),2)</f>
        <v>111.39100000000001</v>
      </c>
      <c r="D61" s="19">
        <v>-5000</v>
      </c>
      <c r="E61" s="23">
        <f t="shared" si="0"/>
        <v>44.886929823773912</v>
      </c>
      <c r="G61" s="23">
        <f>SUM(E$46:E61)</f>
        <v>977.55022595452886</v>
      </c>
    </row>
    <row r="62" spans="2:7" x14ac:dyDescent="0.3">
      <c r="B62" s="10">
        <v>44445</v>
      </c>
      <c r="C62" s="1">
        <f>INDEX(Sheet1!$1:$1048576,MATCH(Dashboard!B62,Sheet1!E:E,0),2)</f>
        <v>113.545</v>
      </c>
      <c r="D62" s="19">
        <v>-5000</v>
      </c>
      <c r="E62" s="23">
        <f t="shared" si="0"/>
        <v>44.035404465190013</v>
      </c>
      <c r="G62" s="23">
        <f>SUM(E$46:E62)</f>
        <v>1021.5856304197189</v>
      </c>
    </row>
    <row r="63" spans="2:7" x14ac:dyDescent="0.3">
      <c r="B63" s="10">
        <v>44473</v>
      </c>
      <c r="C63" s="1">
        <f>INDEX(Sheet1!$1:$1048576,MATCH(Dashboard!B63,Sheet1!E:E,0),2)</f>
        <v>119.152</v>
      </c>
      <c r="D63" s="19">
        <v>-5000</v>
      </c>
      <c r="E63" s="23">
        <f t="shared" si="0"/>
        <v>41.963206660400161</v>
      </c>
      <c r="G63" s="23">
        <f>SUM(E$46:E63)</f>
        <v>1063.548837080119</v>
      </c>
    </row>
    <row r="64" spans="2:7" x14ac:dyDescent="0.3">
      <c r="B64" s="10">
        <v>44503</v>
      </c>
      <c r="C64" s="1">
        <f>INDEX(Sheet1!$1:$1048576,MATCH(Dashboard!B64,Sheet1!E:E,0),2)</f>
        <v>125.004</v>
      </c>
      <c r="D64" s="19">
        <v>-5000</v>
      </c>
      <c r="E64" s="23">
        <f t="shared" si="0"/>
        <v>39.998720040958688</v>
      </c>
      <c r="G64" s="23">
        <f>SUM(E$46:E64)</f>
        <v>1103.5475571210777</v>
      </c>
    </row>
    <row r="65" spans="2:7" x14ac:dyDescent="0.3">
      <c r="B65" s="10">
        <v>44533</v>
      </c>
      <c r="C65" s="1">
        <f>INDEX(Sheet1!$1:$1048576,MATCH(Dashboard!B65,Sheet1!E:E,0),2)</f>
        <v>120.651</v>
      </c>
      <c r="D65" s="19">
        <v>-5000</v>
      </c>
      <c r="E65" s="23">
        <f t="shared" si="0"/>
        <v>41.441844659389481</v>
      </c>
      <c r="G65" s="23">
        <f>SUM(E$46:E65)</f>
        <v>1144.9894017804672</v>
      </c>
    </row>
    <row r="66" spans="2:7" x14ac:dyDescent="0.3">
      <c r="B66" s="10">
        <v>44565</v>
      </c>
      <c r="C66" s="1">
        <f>INDEX(Sheet1!$1:$1048576,MATCH(Dashboard!B66,Sheet1!E:E,0),2)</f>
        <v>125.69</v>
      </c>
      <c r="D66" s="19">
        <v>-5000</v>
      </c>
      <c r="E66" s="23">
        <f t="shared" si="0"/>
        <v>39.780412125069617</v>
      </c>
      <c r="G66" s="23">
        <f>SUM(E$46:E66)</f>
        <v>1184.7698139055369</v>
      </c>
    </row>
    <row r="67" spans="2:7" x14ac:dyDescent="0.3">
      <c r="B67" s="10">
        <v>44596</v>
      </c>
      <c r="C67" s="1">
        <f>INDEX(Sheet1!$1:$1048576,MATCH(Dashboard!B67,Sheet1!E:E,0),2)</f>
        <v>126.532</v>
      </c>
      <c r="D67" s="19">
        <v>-5000</v>
      </c>
      <c r="E67" s="23">
        <f t="shared" si="0"/>
        <v>39.515695634305949</v>
      </c>
      <c r="G67" s="23">
        <f>SUM(E$46:E67)</f>
        <v>1224.2855095398429</v>
      </c>
    </row>
    <row r="68" spans="2:7" x14ac:dyDescent="0.3">
      <c r="B68" s="10">
        <v>44624</v>
      </c>
      <c r="C68" s="1">
        <f>INDEX(Sheet1!$1:$1048576,MATCH(Dashboard!B68,Sheet1!E:E,0),2)</f>
        <v>116.73399999999999</v>
      </c>
      <c r="D68" s="19">
        <v>-5000</v>
      </c>
      <c r="E68" s="23">
        <f t="shared" si="0"/>
        <v>42.832422430482978</v>
      </c>
      <c r="G68" s="23">
        <f>SUM(E$46:E68)</f>
        <v>1267.1179319703258</v>
      </c>
    </row>
    <row r="69" spans="2:7" x14ac:dyDescent="0.3">
      <c r="B69" s="10">
        <v>44655</v>
      </c>
      <c r="C69" s="1">
        <f>INDEX(Sheet1!$1:$1048576,MATCH(Dashboard!B69,Sheet1!E:E,0),2)</f>
        <v>130.35300000000001</v>
      </c>
      <c r="D69" s="19">
        <v>-5000</v>
      </c>
      <c r="E69" s="23">
        <f t="shared" si="0"/>
        <v>38.357383412733114</v>
      </c>
      <c r="G69" s="23">
        <f>SUM(E$46:E69)</f>
        <v>1305.4753153830588</v>
      </c>
    </row>
    <row r="70" spans="2:7" x14ac:dyDescent="0.3">
      <c r="B70" s="10">
        <v>44685</v>
      </c>
      <c r="C70" s="1">
        <f>INDEX(Sheet1!$1:$1048576,MATCH(Dashboard!B70,Sheet1!E:E,0),2)</f>
        <v>124.637</v>
      </c>
      <c r="D70" s="19">
        <v>-5000</v>
      </c>
      <c r="E70" s="23">
        <f t="shared" si="0"/>
        <v>40.11649831109542</v>
      </c>
      <c r="G70" s="23">
        <f>SUM(E$46:E70)</f>
        <v>1345.5918136941543</v>
      </c>
    </row>
    <row r="71" spans="2:7" x14ac:dyDescent="0.3">
      <c r="B71" s="10">
        <v>44715</v>
      </c>
      <c r="C71" s="1">
        <f>INDEX(Sheet1!$1:$1048576,MATCH(Dashboard!B71,Sheet1!E:E,0),2)</f>
        <v>125.57299999999999</v>
      </c>
      <c r="D71" s="19">
        <v>-5000</v>
      </c>
      <c r="E71" s="23">
        <f t="shared" si="0"/>
        <v>39.817476686867401</v>
      </c>
      <c r="G71" s="23">
        <f>SUM(E$46:E71)</f>
        <v>1385.4092903810217</v>
      </c>
    </row>
    <row r="72" spans="2:7" x14ac:dyDescent="0.3">
      <c r="B72" s="10">
        <v>44746</v>
      </c>
      <c r="C72" s="1">
        <f>INDEX(Sheet1!$1:$1048576,MATCH(Dashboard!B72,Sheet1!E:E,0),2)</f>
        <v>122.578</v>
      </c>
      <c r="D72" s="19">
        <v>-5000</v>
      </c>
      <c r="E72" s="23">
        <f t="shared" si="0"/>
        <v>40.790353897110407</v>
      </c>
      <c r="G72" s="23">
        <f>SUM(E$46:E72)</f>
        <v>1426.1996442781322</v>
      </c>
    </row>
    <row r="73" spans="2:7" x14ac:dyDescent="0.3">
      <c r="B73" s="10">
        <v>44777</v>
      </c>
      <c r="C73" s="1">
        <f>INDEX(Sheet1!$1:$1048576,MATCH(Dashboard!B73,Sheet1!E:E,0),2)</f>
        <v>133.50299999999999</v>
      </c>
      <c r="D73" s="19">
        <v>-5000</v>
      </c>
      <c r="E73" s="23">
        <f t="shared" si="0"/>
        <v>37.452341894938698</v>
      </c>
      <c r="G73" s="23">
        <f>SUM(E$46:E73)</f>
        <v>1463.6519861730708</v>
      </c>
    </row>
    <row r="74" spans="2:7" x14ac:dyDescent="0.3">
      <c r="B74" s="10">
        <v>44809</v>
      </c>
      <c r="C74" s="1">
        <f>INDEX(Sheet1!$1:$1048576,MATCH(Dashboard!B74,Sheet1!E:E,0),2)</f>
        <v>139.524</v>
      </c>
      <c r="D74" s="19">
        <v>-5000</v>
      </c>
      <c r="E74" s="23">
        <f t="shared" si="0"/>
        <v>35.836128551360339</v>
      </c>
      <c r="G74" s="23">
        <f>SUM(E$46:E74)</f>
        <v>1499.4881147244312</v>
      </c>
    </row>
    <row r="75" spans="2:7" x14ac:dyDescent="0.3">
      <c r="B75" s="10">
        <v>44838</v>
      </c>
      <c r="C75" s="1">
        <f>INDEX(Sheet1!$1:$1048576,MATCH(Dashboard!B75,Sheet1!E:E,0),2)</f>
        <v>139.881</v>
      </c>
      <c r="D75" s="19">
        <v>-5000</v>
      </c>
      <c r="E75" s="23">
        <f t="shared" si="0"/>
        <v>35.744668682665981</v>
      </c>
      <c r="G75" s="23">
        <f>SUM(E$46:E75)</f>
        <v>1535.2327834070973</v>
      </c>
    </row>
    <row r="76" spans="2:7" x14ac:dyDescent="0.3">
      <c r="B76" s="10">
        <v>44869</v>
      </c>
      <c r="C76" s="1">
        <f>INDEX(Sheet1!$1:$1048576,MATCH(Dashboard!B76,Sheet1!E:E,0),2)</f>
        <v>145.084</v>
      </c>
      <c r="D76" s="19">
        <v>-5000</v>
      </c>
      <c r="E76" s="23">
        <f t="shared" si="0"/>
        <v>34.462793967632543</v>
      </c>
      <c r="G76" s="23">
        <f>SUM(E$46:E76)</f>
        <v>1569.6955773747297</v>
      </c>
    </row>
    <row r="77" spans="2:7" x14ac:dyDescent="0.3">
      <c r="B77" s="10">
        <v>44900</v>
      </c>
      <c r="C77" s="1">
        <f>INDEX(Sheet1!$1:$1048576,MATCH(Dashboard!B77,Sheet1!E:E,0),2)</f>
        <v>151.279</v>
      </c>
      <c r="D77" s="19">
        <v>-5000</v>
      </c>
      <c r="E77" s="23">
        <f t="shared" si="0"/>
        <v>33.051514089860454</v>
      </c>
      <c r="G77" s="23">
        <f>SUM(E$46:E77)</f>
        <v>1602.7470914645901</v>
      </c>
    </row>
    <row r="78" spans="2:7" x14ac:dyDescent="0.3">
      <c r="B78" s="10">
        <v>44930</v>
      </c>
      <c r="C78" s="1">
        <f>INDEX(Sheet1!$1:$1048576,MATCH(Dashboard!B78,Sheet1!E:E,0),2)</f>
        <v>146.91300000000001</v>
      </c>
      <c r="D78" s="19">
        <v>-5000</v>
      </c>
      <c r="E78" s="23">
        <f t="shared" si="0"/>
        <v>34.03374786438232</v>
      </c>
      <c r="G78" s="23">
        <f>SUM(E$46:E78)</f>
        <v>1636.7808393289724</v>
      </c>
    </row>
    <row r="79" spans="2:7" x14ac:dyDescent="0.3">
      <c r="B79" s="10">
        <v>44960</v>
      </c>
      <c r="C79" s="1">
        <f>INDEX(Sheet1!$1:$1048576,MATCH(Dashboard!B79,Sheet1!E:E,0),2)</f>
        <v>145.34200000000001</v>
      </c>
      <c r="D79" s="19">
        <v>-5000</v>
      </c>
      <c r="E79" s="23">
        <f t="shared" si="0"/>
        <v>34.401618252122574</v>
      </c>
      <c r="G79" s="23">
        <f>SUM(E$46:E79)</f>
        <v>1671.1824575810949</v>
      </c>
    </row>
    <row r="80" spans="2:7" x14ac:dyDescent="0.3">
      <c r="B80" s="10">
        <v>44987</v>
      </c>
      <c r="C80" s="1">
        <f>INDEX(Sheet1!$1:$1048576,MATCH(Dashboard!B80,Sheet1!E:E,0),2)</f>
        <v>144.18799999999999</v>
      </c>
      <c r="D80" s="19">
        <v>-5000</v>
      </c>
      <c r="E80" s="23">
        <f t="shared" si="0"/>
        <v>34.676949538103038</v>
      </c>
      <c r="G80" s="23">
        <f>SUM(E$46:E80)</f>
        <v>1705.8594071191981</v>
      </c>
    </row>
    <row r="81" spans="2:7" x14ac:dyDescent="0.3">
      <c r="B81" s="10">
        <v>45022</v>
      </c>
      <c r="C81" s="1">
        <f>INDEX(Sheet1!$1:$1048576,MATCH(Dashboard!B81,Sheet1!E:E,0),2)</f>
        <v>145.88900000000001</v>
      </c>
      <c r="D81" s="19">
        <v>-5000</v>
      </c>
      <c r="E81" s="23">
        <f t="shared" si="0"/>
        <v>34.272631932496623</v>
      </c>
      <c r="G81" s="23">
        <f>SUM(E$46:E81)</f>
        <v>1740.1320390516946</v>
      </c>
    </row>
    <row r="82" spans="2:7" x14ac:dyDescent="0.3">
      <c r="B82" s="10">
        <v>45050</v>
      </c>
      <c r="C82" s="1">
        <f>INDEX(Sheet1!$1:$1048576,MATCH(Dashboard!B82,Sheet1!E:E,0),2)</f>
        <v>151.30500000000001</v>
      </c>
      <c r="D82" s="19">
        <v>-5000</v>
      </c>
      <c r="E82" s="23">
        <f t="shared" si="0"/>
        <v>33.045834572552131</v>
      </c>
      <c r="G82" s="23">
        <f>SUM(E$46:E82)</f>
        <v>1773.1778736242468</v>
      </c>
    </row>
    <row r="83" spans="2:7" x14ac:dyDescent="0.3">
      <c r="B83" s="10">
        <v>45083</v>
      </c>
      <c r="C83" s="1">
        <f>INDEX(Sheet1!$1:$1048576,MATCH(Dashboard!B83,Sheet1!E:E,0),2)</f>
        <v>156.01</v>
      </c>
      <c r="D83" s="19">
        <v>-5000</v>
      </c>
      <c r="E83" s="23">
        <f t="shared" si="0"/>
        <v>32.049227613614512</v>
      </c>
      <c r="G83" s="23">
        <f>SUM(E$46:E83)</f>
        <v>1805.2271012378612</v>
      </c>
    </row>
    <row r="84" spans="2:7" x14ac:dyDescent="0.3">
      <c r="B84" s="10">
        <v>45111</v>
      </c>
      <c r="C84" s="1">
        <f>INDEX(Sheet1!$1:$1048576,MATCH(Dashboard!B84,Sheet1!E:E,0),2)</f>
        <v>161.77099999999999</v>
      </c>
      <c r="D84" s="19">
        <v>-5000</v>
      </c>
      <c r="E84" s="23">
        <f t="shared" si="0"/>
        <v>30.907888311254801</v>
      </c>
      <c r="G84" s="23">
        <f>SUM(E$46:E84)</f>
        <v>1836.134989549116</v>
      </c>
    </row>
    <row r="85" spans="2:7" x14ac:dyDescent="0.3">
      <c r="B85" s="10">
        <v>45142</v>
      </c>
      <c r="C85" s="1">
        <f>INDEX(Sheet1!$1:$1048576,MATCH(Dashboard!B85,Sheet1!E:E,0),2)</f>
        <v>165.922</v>
      </c>
      <c r="D85" s="19">
        <v>-5000</v>
      </c>
      <c r="E85" s="23">
        <f t="shared" si="0"/>
        <v>30.134641578573063</v>
      </c>
      <c r="G85" s="23">
        <f>SUM(E$46:E85)</f>
        <v>1866.2696311276891</v>
      </c>
    </row>
    <row r="86" spans="2:7" x14ac:dyDescent="0.3">
      <c r="B86" s="10">
        <v>45173</v>
      </c>
      <c r="C86" s="1">
        <f>INDEX(Sheet1!$1:$1048576,MATCH(Dashboard!B86,Sheet1!E:E,0),2)</f>
        <v>170.63800000000001</v>
      </c>
      <c r="D86" s="19">
        <v>-5000</v>
      </c>
      <c r="E86" s="23">
        <f t="shared" si="0"/>
        <v>29.301796786178926</v>
      </c>
      <c r="G86" s="23">
        <f>SUM(E$46:E86)</f>
        <v>1895.5714279138681</v>
      </c>
    </row>
    <row r="87" spans="2:7" x14ac:dyDescent="0.3">
      <c r="B87" s="10">
        <v>45203</v>
      </c>
      <c r="C87" s="1">
        <f>INDEX(Sheet1!$1:$1048576,MATCH(Dashboard!B87,Sheet1!E:E,0),2)</f>
        <v>169.25899999999999</v>
      </c>
      <c r="D87" s="19">
        <v>-5000</v>
      </c>
      <c r="E87" s="23">
        <f t="shared" si="0"/>
        <v>29.540526648509093</v>
      </c>
      <c r="G87" s="23">
        <f>SUM(E$46:E87)</f>
        <v>1925.1119545623772</v>
      </c>
    </row>
    <row r="88" spans="2:7" x14ac:dyDescent="0.3">
      <c r="B88" s="10">
        <v>45233</v>
      </c>
      <c r="C88" s="1">
        <f>INDEX(Sheet1!$1:$1048576,MATCH(Dashboard!B88,Sheet1!E:E,0),2)</f>
        <v>170.53200000000001</v>
      </c>
      <c r="D88" s="19">
        <v>-5000</v>
      </c>
      <c r="E88" s="23">
        <f t="shared" si="0"/>
        <v>29.320010320643632</v>
      </c>
      <c r="G88" s="23">
        <f>SUM(E$46:E88)</f>
        <v>1954.4319648830208</v>
      </c>
    </row>
    <row r="89" spans="2:7" x14ac:dyDescent="0.3">
      <c r="B89" s="10">
        <v>45264</v>
      </c>
      <c r="C89" s="1">
        <f>INDEX(Sheet1!$1:$1048576,MATCH(Dashboard!B89,Sheet1!E:E,0),2)</f>
        <v>185.82300000000001</v>
      </c>
      <c r="D89" s="19">
        <v>-5000</v>
      </c>
      <c r="E89" s="23">
        <f t="shared" si="0"/>
        <v>26.907325788519181</v>
      </c>
      <c r="G89" s="23">
        <f>SUM(E$46:E89)</f>
        <v>1981.3392906715399</v>
      </c>
    </row>
    <row r="90" spans="2:7" x14ac:dyDescent="0.3">
      <c r="B90" s="10">
        <v>45295</v>
      </c>
      <c r="C90" s="1">
        <f>INDEX(Sheet1!$1:$1048576,MATCH(Dashboard!B90,Sheet1!E:E,0),2)</f>
        <v>194.76599999999999</v>
      </c>
      <c r="D90" s="19">
        <v>-5000</v>
      </c>
      <c r="E90" s="23">
        <f t="shared" si="0"/>
        <v>25.67183183923272</v>
      </c>
      <c r="G90" s="23">
        <f>SUM(E$46:E90)</f>
        <v>2007.0111225107726</v>
      </c>
    </row>
    <row r="91" spans="2:7" x14ac:dyDescent="0.3">
      <c r="B91" s="10">
        <v>45324</v>
      </c>
      <c r="C91" s="1">
        <f>INDEX(Sheet1!$1:$1048576,MATCH(Dashboard!B91,Sheet1!E:E,0),2)</f>
        <v>198.60599999999999</v>
      </c>
      <c r="D91" s="19">
        <v>-5000</v>
      </c>
      <c r="E91" s="23">
        <f t="shared" si="0"/>
        <v>25.175473047138556</v>
      </c>
      <c r="G91" s="23">
        <f>SUM(E$46:E91)</f>
        <v>2032.1865955579112</v>
      </c>
    </row>
    <row r="92" spans="2:7" x14ac:dyDescent="0.3">
      <c r="B92" s="10">
        <v>45355</v>
      </c>
      <c r="C92" s="1">
        <f>INDEX(Sheet1!$1:$1048576,MATCH(Dashboard!B92,Sheet1!E:E,0),2)</f>
        <v>206.5</v>
      </c>
      <c r="D92" s="19">
        <v>-5000</v>
      </c>
      <c r="E92" s="23">
        <f t="shared" si="0"/>
        <v>24.213075060532688</v>
      </c>
      <c r="G92" s="23">
        <f>SUM(E$46:E92)</f>
        <v>2056.3996706184439</v>
      </c>
    </row>
    <row r="93" spans="2:7" x14ac:dyDescent="0.3">
      <c r="B93" s="10">
        <v>45386</v>
      </c>
      <c r="C93" s="1">
        <f>INDEX(Sheet1!$1:$1048576,MATCH(Dashboard!B93,Sheet1!E:E,0),2)</f>
        <v>209.74199999999999</v>
      </c>
      <c r="D93" s="19">
        <v>-5000</v>
      </c>
      <c r="E93" s="23">
        <f t="shared" si="0"/>
        <v>23.838811492214244</v>
      </c>
      <c r="G93" s="23">
        <f>SUM(E$46:E93)</f>
        <v>2080.238482110658</v>
      </c>
    </row>
    <row r="94" spans="2:7" x14ac:dyDescent="0.3">
      <c r="B94" s="10">
        <v>45414</v>
      </c>
      <c r="C94" s="1">
        <f>INDEX(Sheet1!$1:$1048576,MATCH(Dashboard!B94,Sheet1!E:E,0),2)</f>
        <v>214.69300000000001</v>
      </c>
      <c r="D94" s="19">
        <v>-5000</v>
      </c>
      <c r="E94" s="23">
        <f t="shared" si="0"/>
        <v>23.28906857699133</v>
      </c>
      <c r="G94" s="23">
        <f>SUM(E$46:E94)</f>
        <v>2103.5275506876492</v>
      </c>
    </row>
    <row r="95" spans="2:7" x14ac:dyDescent="0.3">
      <c r="B95" s="10">
        <v>45447</v>
      </c>
      <c r="C95" s="1">
        <f>INDEX(Sheet1!$1:$1048576,MATCH(Dashboard!B95,Sheet1!E:E,0),2)</f>
        <v>213.654</v>
      </c>
      <c r="D95" s="19">
        <v>-5000</v>
      </c>
      <c r="E95" s="23">
        <f t="shared" si="0"/>
        <v>23.402323382665433</v>
      </c>
      <c r="G95" s="23">
        <f>SUM(E$46:E95)</f>
        <v>2126.9298740703148</v>
      </c>
    </row>
    <row r="96" spans="2:7" x14ac:dyDescent="0.3">
      <c r="B96" s="10">
        <v>45477</v>
      </c>
      <c r="C96" s="1">
        <f>INDEX(Sheet1!$1:$1048576,MATCH(Dashboard!B96,Sheet1!E:E,0),2)</f>
        <v>237.28700000000001</v>
      </c>
      <c r="D96" s="19">
        <v>-5000</v>
      </c>
      <c r="E96" s="23">
        <f t="shared" si="0"/>
        <v>21.071529413747907</v>
      </c>
      <c r="G96" s="23">
        <f>SUM(E$46:E96)</f>
        <v>2148.0014034840628</v>
      </c>
    </row>
    <row r="97" spans="2:7" x14ac:dyDescent="0.3">
      <c r="B97" s="10">
        <v>45509</v>
      </c>
      <c r="C97" s="1">
        <f>INDEX(Sheet1!$1:$1048576,MATCH(Dashboard!B97,Sheet1!E:E,0),2)</f>
        <v>233.53899999999999</v>
      </c>
      <c r="D97" s="19">
        <v>-5000</v>
      </c>
      <c r="E97" s="23">
        <f t="shared" si="0"/>
        <v>21.409700307015104</v>
      </c>
      <c r="G97" s="23">
        <f>SUM(E$46:E97)</f>
        <v>2169.4111037910779</v>
      </c>
    </row>
    <row r="98" spans="2:7" x14ac:dyDescent="0.3">
      <c r="B98" s="10">
        <v>45539</v>
      </c>
      <c r="C98" s="1">
        <f>INDEX(Sheet1!$1:$1048576,MATCH(Dashboard!B98,Sheet1!E:E,0),2)</f>
        <v>246.065</v>
      </c>
      <c r="D98" s="19">
        <v>-5000</v>
      </c>
      <c r="E98" s="23">
        <f t="shared" si="0"/>
        <v>20.31983419015301</v>
      </c>
      <c r="G98" s="23">
        <f>SUM(E$46:E98)</f>
        <v>2189.7309379812309</v>
      </c>
    </row>
    <row r="99" spans="2:7" x14ac:dyDescent="0.3">
      <c r="B99" s="10">
        <v>45569</v>
      </c>
      <c r="C99" s="1">
        <f>INDEX(Sheet1!$1:$1048576,MATCH(Dashboard!B99,Sheet1!E:E,0),2)</f>
        <v>247.05</v>
      </c>
      <c r="D99" s="19">
        <v>-5000</v>
      </c>
      <c r="E99" s="23">
        <f t="shared" si="0"/>
        <v>20.238818053025703</v>
      </c>
      <c r="G99" s="23">
        <f>SUM(E$46:E99)</f>
        <v>2209.9697560342565</v>
      </c>
    </row>
    <row r="100" spans="2:7" x14ac:dyDescent="0.3">
      <c r="B100" s="10">
        <v>45600</v>
      </c>
      <c r="C100" s="1">
        <f>INDEX(Sheet1!$1:$1048576,MATCH(Dashboard!B100,Sheet1!E:E,0),2)</f>
        <v>243.179</v>
      </c>
      <c r="D100" s="19">
        <v>-5000</v>
      </c>
      <c r="E100" s="23">
        <f t="shared" si="0"/>
        <v>20.560985940397813</v>
      </c>
      <c r="G100" s="23">
        <f>SUM(E$46:E100)</f>
        <v>2230.5307419746541</v>
      </c>
    </row>
    <row r="101" spans="2:7" x14ac:dyDescent="0.3">
      <c r="B101" s="10">
        <v>45630</v>
      </c>
      <c r="C101" s="1">
        <f>INDEX(Sheet1!$1:$1048576,MATCH(Dashboard!B101,Sheet1!E:E,0),2)</f>
        <v>248.00700000000001</v>
      </c>
      <c r="D101" s="19">
        <v>-5000</v>
      </c>
      <c r="E101" s="23">
        <f t="shared" si="0"/>
        <v>20.160721269964153</v>
      </c>
      <c r="G101" s="23">
        <f>SUM(E$46:E101)</f>
        <v>2250.6914632446183</v>
      </c>
    </row>
    <row r="102" spans="2:7" x14ac:dyDescent="0.3">
      <c r="B102" s="10">
        <v>45663</v>
      </c>
      <c r="C102" s="1">
        <f>INDEX(Sheet1!$1:$1048576,MATCH(Dashboard!B102,Sheet1!E:E,0),2)</f>
        <v>242.047</v>
      </c>
      <c r="D102" s="19">
        <v>-5000</v>
      </c>
      <c r="E102" s="23">
        <f t="shared" si="0"/>
        <v>20.657145099918612</v>
      </c>
      <c r="G102" s="23">
        <f>SUM(E$46:E102)</f>
        <v>2271.3486083445368</v>
      </c>
    </row>
    <row r="103" spans="2:7" x14ac:dyDescent="0.3">
      <c r="B103" s="10">
        <v>45692</v>
      </c>
      <c r="C103" s="1">
        <f>INDEX(Sheet1!$1:$1048576,MATCH(Dashboard!B103,Sheet1!E:E,0),2)</f>
        <v>239.59299999999999</v>
      </c>
      <c r="D103" s="19">
        <v>-5000</v>
      </c>
      <c r="E103" s="23">
        <f t="shared" si="0"/>
        <v>20.868723209776579</v>
      </c>
      <c r="G103" s="23">
        <f>SUM(E$46:E103)</f>
        <v>2292.2173315543132</v>
      </c>
    </row>
    <row r="104" spans="2:7" x14ac:dyDescent="0.3">
      <c r="B104" s="10">
        <v>45720</v>
      </c>
      <c r="C104" s="1">
        <f>INDEX(Sheet1!$1:$1048576,MATCH(Dashboard!B104,Sheet1!E:E,0),2)</f>
        <v>227.56899999999999</v>
      </c>
      <c r="D104" s="19">
        <v>-5000</v>
      </c>
      <c r="E104" s="23">
        <f t="shared" si="0"/>
        <v>21.971358137531915</v>
      </c>
      <c r="G104" s="23">
        <f>SUM(E$46:E104)</f>
        <v>2314.188689691845</v>
      </c>
    </row>
    <row r="105" spans="2:7" x14ac:dyDescent="0.3">
      <c r="B105" s="10">
        <v>45751</v>
      </c>
      <c r="C105" s="1">
        <f>INDEX(Sheet1!$1:$1048576,MATCH(Dashboard!B105,Sheet1!E:E,0),2)</f>
        <v>238.233</v>
      </c>
      <c r="D105" s="19">
        <v>-5000</v>
      </c>
      <c r="E105" s="23">
        <f t="shared" si="0"/>
        <v>20.987856426271758</v>
      </c>
      <c r="G105" s="23">
        <f>SUM(E$46:E105)</f>
        <v>2335.1765461181167</v>
      </c>
    </row>
    <row r="106" spans="2:7" x14ac:dyDescent="0.3">
      <c r="B106" s="10">
        <v>45779</v>
      </c>
      <c r="C106" s="1">
        <f>INDEX(Sheet1!$1:$1048576,MATCH(Dashboard!B106,Sheet1!E:E,0),2)</f>
        <v>250.21</v>
      </c>
      <c r="D106" s="19">
        <v>-5000</v>
      </c>
      <c r="E106" s="23">
        <f t="shared" si="0"/>
        <v>19.98321410015587</v>
      </c>
      <c r="G106" s="23">
        <f>SUM(E$46:E106)</f>
        <v>2355.1597602182724</v>
      </c>
    </row>
    <row r="107" spans="2:7" x14ac:dyDescent="0.3">
      <c r="B107" s="10">
        <v>45779</v>
      </c>
      <c r="C107" s="1" t="s">
        <v>38</v>
      </c>
      <c r="D107" s="1">
        <f>G106*C106</f>
        <v>589284.52360421396</v>
      </c>
    </row>
  </sheetData>
  <mergeCells count="8">
    <mergeCell ref="I6:K6"/>
    <mergeCell ref="Q6:V6"/>
    <mergeCell ref="B43:C43"/>
    <mergeCell ref="B3:G3"/>
    <mergeCell ref="C6:F6"/>
    <mergeCell ref="B23:C23"/>
    <mergeCell ref="B33:C33"/>
    <mergeCell ref="E45:F4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EE70-D82C-48CF-8063-5AA73BA9FA70}">
  <dimension ref="B2:L1275"/>
  <sheetViews>
    <sheetView workbookViewId="0">
      <selection activeCell="J16" sqref="J16"/>
    </sheetView>
  </sheetViews>
  <sheetFormatPr defaultRowHeight="14.4" x14ac:dyDescent="0.3"/>
  <cols>
    <col min="1" max="4" width="8.88671875" style="1"/>
    <col min="5" max="5" width="16.77734375" style="9" bestFit="1" customWidth="1"/>
    <col min="6" max="6" width="8.88671875" style="1"/>
    <col min="7" max="7" width="17.33203125" style="1" bestFit="1" customWidth="1"/>
    <col min="8" max="16384" width="8.88671875" style="1"/>
  </cols>
  <sheetData>
    <row r="2" spans="2:12" x14ac:dyDescent="0.3">
      <c r="B2" s="1" t="s">
        <v>40</v>
      </c>
    </row>
    <row r="3" spans="2:12" x14ac:dyDescent="0.3">
      <c r="B3" s="22">
        <v>60.863999999999997</v>
      </c>
      <c r="C3" s="22"/>
      <c r="D3" s="22"/>
      <c r="E3" s="33">
        <v>43955</v>
      </c>
      <c r="G3" s="5" t="s">
        <v>46</v>
      </c>
    </row>
    <row r="4" spans="2:12" x14ac:dyDescent="0.3">
      <c r="B4" s="22">
        <v>60.863999999999997</v>
      </c>
      <c r="C4" s="22"/>
      <c r="D4" s="22"/>
      <c r="E4" s="33">
        <v>43955</v>
      </c>
      <c r="G4" s="27" t="s">
        <v>23</v>
      </c>
      <c r="H4" s="27" t="s">
        <v>1</v>
      </c>
      <c r="I4" s="27" t="s">
        <v>2</v>
      </c>
      <c r="J4" s="27" t="s">
        <v>7</v>
      </c>
      <c r="K4" s="27" t="s">
        <v>3</v>
      </c>
    </row>
    <row r="5" spans="2:12" x14ac:dyDescent="0.3">
      <c r="B5" s="22">
        <v>60.652999999999999</v>
      </c>
      <c r="C5" s="22"/>
      <c r="D5" s="22"/>
      <c r="E5" s="33">
        <v>43956</v>
      </c>
      <c r="G5" s="25" t="s">
        <v>5</v>
      </c>
      <c r="H5" s="3">
        <v>7.1999999999999995E-2</v>
      </c>
      <c r="I5" s="3">
        <v>0.1779</v>
      </c>
      <c r="J5" s="3">
        <v>0.24149999999999999</v>
      </c>
      <c r="K5" s="3">
        <v>0.14069999999999999</v>
      </c>
    </row>
    <row r="6" spans="2:12" x14ac:dyDescent="0.3">
      <c r="B6" s="22">
        <v>60.652999999999999</v>
      </c>
      <c r="C6" s="22"/>
      <c r="D6" s="22"/>
      <c r="E6" s="33">
        <v>43956</v>
      </c>
      <c r="G6" s="25" t="s">
        <v>4</v>
      </c>
      <c r="H6" s="18">
        <v>0.13300000000000001</v>
      </c>
      <c r="I6" s="18">
        <v>0.156</v>
      </c>
      <c r="J6" s="18">
        <v>0.153</v>
      </c>
      <c r="K6" s="18">
        <v>0.14299999999999999</v>
      </c>
      <c r="L6" s="18"/>
    </row>
    <row r="7" spans="2:12" x14ac:dyDescent="0.3">
      <c r="B7" s="22">
        <v>60.585000000000001</v>
      </c>
      <c r="C7" s="22"/>
      <c r="D7" s="22"/>
      <c r="E7" s="33">
        <v>43957</v>
      </c>
      <c r="G7" s="25" t="s">
        <v>6</v>
      </c>
      <c r="H7" s="3">
        <f>(1+H5)^1-1</f>
        <v>7.2000000000000064E-2</v>
      </c>
      <c r="I7" s="3">
        <f>(1+I5)^3-1</f>
        <v>0.63427548213899998</v>
      </c>
      <c r="J7" s="3">
        <f>(1+J5)^5-1</f>
        <v>1.9493996165653957</v>
      </c>
      <c r="K7" s="3">
        <f>(1+K5)^10-1</f>
        <v>2.73004795640141</v>
      </c>
    </row>
    <row r="8" spans="2:12" x14ac:dyDescent="0.3">
      <c r="B8" s="22">
        <v>60.585000000000001</v>
      </c>
      <c r="C8" s="22"/>
      <c r="D8" s="22"/>
      <c r="E8" s="33">
        <v>43957</v>
      </c>
    </row>
    <row r="9" spans="2:12" ht="15" thickBot="1" x14ac:dyDescent="0.35">
      <c r="B9" s="22">
        <v>59.912999999999997</v>
      </c>
      <c r="C9" s="22"/>
      <c r="D9" s="22"/>
      <c r="E9" s="33">
        <v>43958</v>
      </c>
      <c r="G9" s="12" t="s">
        <v>30</v>
      </c>
      <c r="H9" s="12"/>
    </row>
    <row r="10" spans="2:12" x14ac:dyDescent="0.3">
      <c r="B10" s="22">
        <v>59.912999999999997</v>
      </c>
      <c r="C10" s="22"/>
      <c r="D10" s="22"/>
      <c r="E10" s="33">
        <v>43958</v>
      </c>
      <c r="G10" s="25" t="s">
        <v>24</v>
      </c>
      <c r="H10" s="1" t="s">
        <v>31</v>
      </c>
    </row>
    <row r="11" spans="2:12" x14ac:dyDescent="0.3">
      <c r="B11" s="22">
        <v>59.732999999999997</v>
      </c>
      <c r="C11" s="22"/>
      <c r="D11" s="22"/>
      <c r="E11" s="33">
        <v>43959</v>
      </c>
      <c r="G11" s="25" t="s">
        <v>25</v>
      </c>
      <c r="H11" s="1">
        <v>5.7</v>
      </c>
    </row>
    <row r="12" spans="2:12" x14ac:dyDescent="0.3">
      <c r="B12" s="22">
        <v>59.732999999999997</v>
      </c>
      <c r="C12" s="22"/>
      <c r="D12" s="22"/>
      <c r="E12" s="33">
        <v>43959</v>
      </c>
      <c r="G12" s="25" t="s">
        <v>26</v>
      </c>
      <c r="H12" s="1">
        <v>1.01</v>
      </c>
    </row>
    <row r="13" spans="2:12" x14ac:dyDescent="0.3">
      <c r="B13" s="22">
        <v>59.533000000000001</v>
      </c>
      <c r="C13" s="22"/>
      <c r="D13" s="22"/>
      <c r="E13" s="33">
        <v>43962</v>
      </c>
      <c r="G13" s="25" t="s">
        <v>27</v>
      </c>
      <c r="H13" s="1">
        <v>0.68</v>
      </c>
    </row>
    <row r="14" spans="2:12" x14ac:dyDescent="0.3">
      <c r="B14" s="22">
        <v>59.533000000000001</v>
      </c>
      <c r="C14" s="22"/>
      <c r="D14" s="22"/>
      <c r="E14" s="33">
        <v>43962</v>
      </c>
      <c r="G14" s="25" t="s">
        <v>33</v>
      </c>
      <c r="H14" s="1">
        <v>0.1</v>
      </c>
    </row>
    <row r="15" spans="2:12" x14ac:dyDescent="0.3">
      <c r="B15" s="22">
        <v>59.417999999999999</v>
      </c>
      <c r="C15" s="22"/>
      <c r="D15" s="22"/>
      <c r="E15" s="33">
        <v>43963</v>
      </c>
      <c r="G15" s="25" t="s">
        <v>28</v>
      </c>
      <c r="H15" s="1">
        <v>13.6</v>
      </c>
    </row>
    <row r="16" spans="2:12" x14ac:dyDescent="0.3">
      <c r="B16" s="22">
        <v>59.417999999999999</v>
      </c>
      <c r="C16" s="22"/>
      <c r="D16" s="22"/>
      <c r="E16" s="33">
        <v>43963</v>
      </c>
      <c r="G16" s="25"/>
      <c r="H16" s="4"/>
    </row>
    <row r="17" spans="2:5" x14ac:dyDescent="0.3">
      <c r="B17" s="22">
        <v>60.862000000000002</v>
      </c>
      <c r="C17" s="22"/>
      <c r="D17" s="22"/>
      <c r="E17" s="33">
        <v>43964</v>
      </c>
    </row>
    <row r="18" spans="2:5" x14ac:dyDescent="0.3">
      <c r="B18" s="22">
        <v>60.862000000000002</v>
      </c>
      <c r="C18" s="22"/>
      <c r="D18" s="22"/>
      <c r="E18" s="33">
        <v>43964</v>
      </c>
    </row>
    <row r="19" spans="2:5" x14ac:dyDescent="0.3">
      <c r="B19" s="22">
        <v>59.487000000000002</v>
      </c>
      <c r="C19" s="22"/>
      <c r="D19" s="22"/>
      <c r="E19" s="33">
        <v>43965</v>
      </c>
    </row>
    <row r="20" spans="2:5" x14ac:dyDescent="0.3">
      <c r="B20" s="22">
        <v>59.487000000000002</v>
      </c>
      <c r="C20" s="22"/>
      <c r="D20" s="22"/>
      <c r="E20" s="33">
        <v>43965</v>
      </c>
    </row>
    <row r="21" spans="2:5" x14ac:dyDescent="0.3">
      <c r="B21" s="22">
        <v>59.63</v>
      </c>
      <c r="C21" s="22"/>
      <c r="D21" s="22"/>
      <c r="E21" s="33">
        <v>43966</v>
      </c>
    </row>
    <row r="22" spans="2:5" x14ac:dyDescent="0.3">
      <c r="B22" s="22">
        <v>59.63</v>
      </c>
      <c r="C22" s="22"/>
      <c r="D22" s="22"/>
      <c r="E22" s="33">
        <v>43966</v>
      </c>
    </row>
    <row r="23" spans="2:5" x14ac:dyDescent="0.3">
      <c r="B23" s="22">
        <v>57.533999999999999</v>
      </c>
      <c r="C23" s="22"/>
      <c r="D23" s="22"/>
      <c r="E23" s="33">
        <v>43969</v>
      </c>
    </row>
    <row r="24" spans="2:5" x14ac:dyDescent="0.3">
      <c r="B24" s="22">
        <v>57.533999999999999</v>
      </c>
      <c r="C24" s="22"/>
      <c r="D24" s="22"/>
      <c r="E24" s="33">
        <v>43969</v>
      </c>
    </row>
    <row r="25" spans="2:5" x14ac:dyDescent="0.3">
      <c r="B25" s="22">
        <v>57.476999999999997</v>
      </c>
      <c r="C25" s="22"/>
      <c r="D25" s="22"/>
      <c r="E25" s="33">
        <v>43970</v>
      </c>
    </row>
    <row r="26" spans="2:5" x14ac:dyDescent="0.3">
      <c r="B26" s="22">
        <v>57.476999999999997</v>
      </c>
      <c r="C26" s="22"/>
      <c r="D26" s="22"/>
      <c r="E26" s="33">
        <v>43970</v>
      </c>
    </row>
    <row r="27" spans="2:5" x14ac:dyDescent="0.3">
      <c r="B27" s="22">
        <v>58.66</v>
      </c>
      <c r="C27" s="22"/>
      <c r="D27" s="22"/>
      <c r="E27" s="33">
        <v>43971</v>
      </c>
    </row>
    <row r="28" spans="2:5" x14ac:dyDescent="0.3">
      <c r="B28" s="22">
        <v>58.66</v>
      </c>
      <c r="C28" s="22"/>
      <c r="D28" s="22"/>
      <c r="E28" s="33">
        <v>43971</v>
      </c>
    </row>
    <row r="29" spans="2:5" x14ac:dyDescent="0.3">
      <c r="B29" s="22">
        <v>58.944000000000003</v>
      </c>
      <c r="C29" s="22"/>
      <c r="D29" s="22"/>
      <c r="E29" s="33">
        <v>43972</v>
      </c>
    </row>
    <row r="30" spans="2:5" x14ac:dyDescent="0.3">
      <c r="B30" s="22">
        <v>58.944000000000003</v>
      </c>
      <c r="C30" s="22"/>
      <c r="D30" s="22"/>
      <c r="E30" s="33">
        <v>43972</v>
      </c>
    </row>
    <row r="31" spans="2:5" x14ac:dyDescent="0.3">
      <c r="B31" s="22">
        <v>58.408999999999999</v>
      </c>
      <c r="C31" s="22"/>
      <c r="D31" s="22"/>
      <c r="E31" s="33">
        <v>43973</v>
      </c>
    </row>
    <row r="32" spans="2:5" x14ac:dyDescent="0.3">
      <c r="B32" s="22">
        <v>58.408999999999999</v>
      </c>
      <c r="C32" s="22"/>
      <c r="D32" s="22"/>
      <c r="E32" s="33">
        <v>43973</v>
      </c>
    </row>
    <row r="33" spans="2:5" x14ac:dyDescent="0.3">
      <c r="B33" s="22">
        <v>58.604999999999997</v>
      </c>
      <c r="C33" s="22"/>
      <c r="D33" s="22"/>
      <c r="E33" s="33">
        <v>43977</v>
      </c>
    </row>
    <row r="34" spans="2:5" x14ac:dyDescent="0.3">
      <c r="B34" s="22">
        <v>58.604999999999997</v>
      </c>
      <c r="C34" s="22"/>
      <c r="D34" s="22"/>
      <c r="E34" s="33">
        <v>43977</v>
      </c>
    </row>
    <row r="35" spans="2:5" x14ac:dyDescent="0.3">
      <c r="B35" s="22">
        <v>60.131</v>
      </c>
      <c r="C35" s="22"/>
      <c r="D35" s="22"/>
      <c r="E35" s="33">
        <v>43978</v>
      </c>
    </row>
    <row r="36" spans="2:5" x14ac:dyDescent="0.3">
      <c r="B36" s="22">
        <v>60.131</v>
      </c>
      <c r="C36" s="22"/>
      <c r="D36" s="22"/>
      <c r="E36" s="33">
        <v>43978</v>
      </c>
    </row>
    <row r="37" spans="2:5" x14ac:dyDescent="0.3">
      <c r="B37" s="22">
        <v>61.076999999999998</v>
      </c>
      <c r="C37" s="22"/>
      <c r="D37" s="22"/>
      <c r="E37" s="33">
        <v>43979</v>
      </c>
    </row>
    <row r="38" spans="2:5" x14ac:dyDescent="0.3">
      <c r="B38" s="22">
        <v>61.076999999999998</v>
      </c>
      <c r="C38" s="22"/>
      <c r="D38" s="22"/>
      <c r="E38" s="33">
        <v>43979</v>
      </c>
    </row>
    <row r="39" spans="2:5" x14ac:dyDescent="0.3">
      <c r="B39" s="22">
        <v>61.831000000000003</v>
      </c>
      <c r="C39" s="22"/>
      <c r="D39" s="22"/>
      <c r="E39" s="33">
        <v>43980</v>
      </c>
    </row>
    <row r="40" spans="2:5" x14ac:dyDescent="0.3">
      <c r="B40" s="22">
        <v>61.831000000000003</v>
      </c>
      <c r="C40" s="22"/>
      <c r="D40" s="22"/>
      <c r="E40" s="33">
        <v>43980</v>
      </c>
    </row>
    <row r="41" spans="2:5" x14ac:dyDescent="0.3">
      <c r="B41" s="22">
        <v>63.069000000000003</v>
      </c>
      <c r="C41" s="22"/>
      <c r="D41" s="22"/>
      <c r="E41" s="33">
        <v>43983</v>
      </c>
    </row>
    <row r="42" spans="2:5" x14ac:dyDescent="0.3">
      <c r="B42" s="22">
        <v>63.069000000000003</v>
      </c>
      <c r="C42" s="22"/>
      <c r="D42" s="22"/>
      <c r="E42" s="33">
        <v>43983</v>
      </c>
    </row>
    <row r="43" spans="2:5" x14ac:dyDescent="0.3">
      <c r="B43" s="22">
        <v>63.72</v>
      </c>
      <c r="C43" s="22"/>
      <c r="D43" s="22"/>
      <c r="E43" s="33">
        <v>43984</v>
      </c>
    </row>
    <row r="44" spans="2:5" x14ac:dyDescent="0.3">
      <c r="B44" s="22">
        <v>63.72</v>
      </c>
      <c r="C44" s="22"/>
      <c r="D44" s="22"/>
      <c r="E44" s="33">
        <v>43984</v>
      </c>
    </row>
    <row r="45" spans="2:5" x14ac:dyDescent="0.3">
      <c r="B45" s="22">
        <v>64.167000000000002</v>
      </c>
      <c r="C45" s="22"/>
      <c r="D45" s="22"/>
      <c r="E45" s="33">
        <v>43985</v>
      </c>
    </row>
    <row r="46" spans="2:5" x14ac:dyDescent="0.3">
      <c r="B46" s="22">
        <v>64.167000000000002</v>
      </c>
      <c r="C46" s="22"/>
      <c r="D46" s="22"/>
      <c r="E46" s="33">
        <v>43985</v>
      </c>
    </row>
    <row r="47" spans="2:5" x14ac:dyDescent="0.3">
      <c r="B47" s="22">
        <v>64.221000000000004</v>
      </c>
      <c r="C47" s="22"/>
      <c r="D47" s="22"/>
      <c r="E47" s="33">
        <v>43986</v>
      </c>
    </row>
    <row r="48" spans="2:5" x14ac:dyDescent="0.3">
      <c r="B48" s="22">
        <v>64.221000000000004</v>
      </c>
      <c r="C48" s="22"/>
      <c r="D48" s="22"/>
      <c r="E48" s="33">
        <v>43986</v>
      </c>
    </row>
    <row r="49" spans="2:5" x14ac:dyDescent="0.3">
      <c r="B49" s="22">
        <v>65.727000000000004</v>
      </c>
      <c r="C49" s="22"/>
      <c r="D49" s="22"/>
      <c r="E49" s="33">
        <v>43987</v>
      </c>
    </row>
    <row r="50" spans="2:5" x14ac:dyDescent="0.3">
      <c r="B50" s="22">
        <v>65.727000000000004</v>
      </c>
      <c r="C50" s="22"/>
      <c r="D50" s="22"/>
      <c r="E50" s="33">
        <v>43987</v>
      </c>
    </row>
    <row r="51" spans="2:5" x14ac:dyDescent="0.3">
      <c r="B51" s="22">
        <v>66.314999999999998</v>
      </c>
      <c r="C51" s="22"/>
      <c r="D51" s="22"/>
      <c r="E51" s="33">
        <v>43990</v>
      </c>
    </row>
    <row r="52" spans="2:5" x14ac:dyDescent="0.3">
      <c r="B52" s="22">
        <v>66.314999999999998</v>
      </c>
      <c r="C52" s="22"/>
      <c r="D52" s="22"/>
      <c r="E52" s="33">
        <v>43990</v>
      </c>
    </row>
    <row r="53" spans="2:5" x14ac:dyDescent="0.3">
      <c r="B53" s="22">
        <v>65.284000000000006</v>
      </c>
      <c r="C53" s="22"/>
      <c r="D53" s="22"/>
      <c r="E53" s="33">
        <v>43991</v>
      </c>
    </row>
    <row r="54" spans="2:5" x14ac:dyDescent="0.3">
      <c r="B54" s="22">
        <v>65.284000000000006</v>
      </c>
      <c r="C54" s="22"/>
      <c r="D54" s="22"/>
      <c r="E54" s="33">
        <v>43991</v>
      </c>
    </row>
    <row r="55" spans="2:5" x14ac:dyDescent="0.3">
      <c r="B55" s="22">
        <v>65.709000000000003</v>
      </c>
      <c r="C55" s="22"/>
      <c r="D55" s="22"/>
      <c r="E55" s="33">
        <v>43992</v>
      </c>
    </row>
    <row r="56" spans="2:5" x14ac:dyDescent="0.3">
      <c r="B56" s="22">
        <v>65.709000000000003</v>
      </c>
      <c r="C56" s="22"/>
      <c r="D56" s="22"/>
      <c r="E56" s="33">
        <v>43992</v>
      </c>
    </row>
    <row r="57" spans="2:5" x14ac:dyDescent="0.3">
      <c r="B57" s="22">
        <v>64.644999999999996</v>
      </c>
      <c r="C57" s="22"/>
      <c r="D57" s="22"/>
      <c r="E57" s="33">
        <v>43993</v>
      </c>
    </row>
    <row r="58" spans="2:5" x14ac:dyDescent="0.3">
      <c r="B58" s="22">
        <v>64.644999999999996</v>
      </c>
      <c r="C58" s="22"/>
      <c r="D58" s="22"/>
      <c r="E58" s="33">
        <v>43993</v>
      </c>
    </row>
    <row r="59" spans="2:5" x14ac:dyDescent="0.3">
      <c r="B59" s="22">
        <v>64.983000000000004</v>
      </c>
      <c r="C59" s="22"/>
      <c r="D59" s="22"/>
      <c r="E59" s="33">
        <v>43994</v>
      </c>
    </row>
    <row r="60" spans="2:5" x14ac:dyDescent="0.3">
      <c r="B60" s="22">
        <v>64.983000000000004</v>
      </c>
      <c r="C60" s="22"/>
      <c r="D60" s="22"/>
      <c r="E60" s="33">
        <v>43994</v>
      </c>
    </row>
    <row r="61" spans="2:5" x14ac:dyDescent="0.3">
      <c r="B61" s="22">
        <v>63.927999999999997</v>
      </c>
      <c r="C61" s="22"/>
      <c r="D61" s="22"/>
      <c r="E61" s="33">
        <v>43997</v>
      </c>
    </row>
    <row r="62" spans="2:5" x14ac:dyDescent="0.3">
      <c r="B62" s="22">
        <v>63.927999999999997</v>
      </c>
      <c r="C62" s="22"/>
      <c r="D62" s="22"/>
      <c r="E62" s="33">
        <v>43997</v>
      </c>
    </row>
    <row r="63" spans="2:5" x14ac:dyDescent="0.3">
      <c r="B63" s="22">
        <v>64.099999999999994</v>
      </c>
      <c r="C63" s="22"/>
      <c r="D63" s="22"/>
      <c r="E63" s="33">
        <v>43998</v>
      </c>
    </row>
    <row r="64" spans="2:5" x14ac:dyDescent="0.3">
      <c r="B64" s="22">
        <v>64.099999999999994</v>
      </c>
      <c r="C64" s="22"/>
      <c r="D64" s="22"/>
      <c r="E64" s="33">
        <v>43998</v>
      </c>
    </row>
    <row r="65" spans="2:5" x14ac:dyDescent="0.3">
      <c r="B65" s="22">
        <v>64.021000000000001</v>
      </c>
      <c r="C65" s="22"/>
      <c r="D65" s="22"/>
      <c r="E65" s="33">
        <v>43999</v>
      </c>
    </row>
    <row r="66" spans="2:5" x14ac:dyDescent="0.3">
      <c r="B66" s="22">
        <v>64.021000000000001</v>
      </c>
      <c r="C66" s="22"/>
      <c r="D66" s="22"/>
      <c r="E66" s="33">
        <v>43999</v>
      </c>
    </row>
    <row r="67" spans="2:5" x14ac:dyDescent="0.3">
      <c r="B67" s="22">
        <v>65.665000000000006</v>
      </c>
      <c r="C67" s="22"/>
      <c r="D67" s="22"/>
      <c r="E67" s="33">
        <v>44000</v>
      </c>
    </row>
    <row r="68" spans="2:5" x14ac:dyDescent="0.3">
      <c r="B68" s="22">
        <v>65.665000000000006</v>
      </c>
      <c r="C68" s="22"/>
      <c r="D68" s="22"/>
      <c r="E68" s="33">
        <v>44000</v>
      </c>
    </row>
    <row r="69" spans="2:5" x14ac:dyDescent="0.3">
      <c r="B69" s="22">
        <v>66.647999999999996</v>
      </c>
      <c r="C69" s="22"/>
      <c r="D69" s="22"/>
      <c r="E69" s="33">
        <v>44001</v>
      </c>
    </row>
    <row r="70" spans="2:5" x14ac:dyDescent="0.3">
      <c r="B70" s="22">
        <v>66.647999999999996</v>
      </c>
      <c r="C70" s="22"/>
      <c r="D70" s="22"/>
      <c r="E70" s="33">
        <v>44001</v>
      </c>
    </row>
    <row r="71" spans="2:5" x14ac:dyDescent="0.3">
      <c r="B71" s="22">
        <v>67.536000000000001</v>
      </c>
      <c r="C71" s="22"/>
      <c r="D71" s="22"/>
      <c r="E71" s="33">
        <v>44004</v>
      </c>
    </row>
    <row r="72" spans="2:5" x14ac:dyDescent="0.3">
      <c r="B72" s="22">
        <v>67.536000000000001</v>
      </c>
      <c r="C72" s="22"/>
      <c r="D72" s="22"/>
      <c r="E72" s="33">
        <v>44004</v>
      </c>
    </row>
    <row r="73" spans="2:5" x14ac:dyDescent="0.3">
      <c r="B73" s="22">
        <v>68.790999999999997</v>
      </c>
      <c r="C73" s="22"/>
      <c r="D73" s="22"/>
      <c r="E73" s="33">
        <v>44005</v>
      </c>
    </row>
    <row r="74" spans="2:5" x14ac:dyDescent="0.3">
      <c r="B74" s="22">
        <v>68.790999999999997</v>
      </c>
      <c r="C74" s="22"/>
      <c r="D74" s="22"/>
      <c r="E74" s="33">
        <v>44005</v>
      </c>
    </row>
    <row r="75" spans="2:5" x14ac:dyDescent="0.3">
      <c r="B75" s="22">
        <v>67.566999999999993</v>
      </c>
      <c r="C75" s="22"/>
      <c r="D75" s="22"/>
      <c r="E75" s="33">
        <v>44006</v>
      </c>
    </row>
    <row r="76" spans="2:5" x14ac:dyDescent="0.3">
      <c r="B76" s="22">
        <v>67.566999999999993</v>
      </c>
      <c r="C76" s="22"/>
      <c r="D76" s="22"/>
      <c r="E76" s="33">
        <v>44006</v>
      </c>
    </row>
    <row r="77" spans="2:5" x14ac:dyDescent="0.3">
      <c r="B77" s="22">
        <v>67.483000000000004</v>
      </c>
      <c r="C77" s="22"/>
      <c r="D77" s="22"/>
      <c r="E77" s="33">
        <v>44007</v>
      </c>
    </row>
    <row r="78" spans="2:5" x14ac:dyDescent="0.3">
      <c r="B78" s="22">
        <v>67.483000000000004</v>
      </c>
      <c r="C78" s="22"/>
      <c r="D78" s="22"/>
      <c r="E78" s="33">
        <v>44007</v>
      </c>
    </row>
    <row r="79" spans="2:5" x14ac:dyDescent="0.3">
      <c r="B79" s="22">
        <v>68.281000000000006</v>
      </c>
      <c r="C79" s="22"/>
      <c r="D79" s="22"/>
      <c r="E79" s="33">
        <v>44008</v>
      </c>
    </row>
    <row r="80" spans="2:5" x14ac:dyDescent="0.3">
      <c r="B80" s="22">
        <v>67.433000000000007</v>
      </c>
      <c r="C80" s="22"/>
      <c r="D80" s="22"/>
      <c r="E80" s="33">
        <v>44011</v>
      </c>
    </row>
    <row r="81" spans="2:5" x14ac:dyDescent="0.3">
      <c r="B81" s="22">
        <v>67.313999999999993</v>
      </c>
      <c r="C81" s="22"/>
      <c r="D81" s="22"/>
      <c r="E81" s="33">
        <v>44012</v>
      </c>
    </row>
    <row r="82" spans="2:5" x14ac:dyDescent="0.3">
      <c r="B82" s="22">
        <v>68</v>
      </c>
      <c r="C82" s="22"/>
      <c r="D82" s="22"/>
      <c r="E82" s="33">
        <v>44013</v>
      </c>
    </row>
    <row r="83" spans="2:5" x14ac:dyDescent="0.3">
      <c r="B83" s="22">
        <v>68.540999999999997</v>
      </c>
      <c r="C83" s="22"/>
      <c r="D83" s="22"/>
      <c r="E83" s="33">
        <v>44014</v>
      </c>
    </row>
    <row r="84" spans="2:5" x14ac:dyDescent="0.3">
      <c r="B84" s="22">
        <v>69.036000000000001</v>
      </c>
      <c r="C84" s="22"/>
      <c r="D84" s="22"/>
      <c r="E84" s="33">
        <v>44015</v>
      </c>
    </row>
    <row r="85" spans="2:5" x14ac:dyDescent="0.3">
      <c r="B85" s="22">
        <v>70.150000000000006</v>
      </c>
      <c r="C85" s="22"/>
      <c r="D85" s="22"/>
      <c r="E85" s="33">
        <v>44018</v>
      </c>
    </row>
    <row r="86" spans="2:5" x14ac:dyDescent="0.3">
      <c r="B86" s="22">
        <v>70.147000000000006</v>
      </c>
      <c r="C86" s="22"/>
      <c r="D86" s="22"/>
      <c r="E86" s="33">
        <v>44019</v>
      </c>
    </row>
    <row r="87" spans="2:5" x14ac:dyDescent="0.3">
      <c r="B87" s="22">
        <v>69.775999999999996</v>
      </c>
      <c r="C87" s="22"/>
      <c r="D87" s="22"/>
      <c r="E87" s="33">
        <v>44020</v>
      </c>
    </row>
    <row r="88" spans="2:5" x14ac:dyDescent="0.3">
      <c r="B88" s="22">
        <v>70.259</v>
      </c>
      <c r="C88" s="22"/>
      <c r="D88" s="22"/>
      <c r="E88" s="33">
        <v>44021</v>
      </c>
    </row>
    <row r="89" spans="2:5" x14ac:dyDescent="0.3">
      <c r="B89" s="22">
        <v>69.831999999999994</v>
      </c>
      <c r="C89" s="22"/>
      <c r="D89" s="22"/>
      <c r="E89" s="33">
        <v>44022</v>
      </c>
    </row>
    <row r="90" spans="2:5" x14ac:dyDescent="0.3">
      <c r="B90" s="22">
        <v>69.799000000000007</v>
      </c>
      <c r="C90" s="22"/>
      <c r="D90" s="22"/>
      <c r="E90" s="33">
        <v>44025</v>
      </c>
    </row>
    <row r="91" spans="2:5" x14ac:dyDescent="0.3">
      <c r="B91" s="22">
        <v>68.471000000000004</v>
      </c>
      <c r="C91" s="22"/>
      <c r="D91" s="22"/>
      <c r="E91" s="33">
        <v>44026</v>
      </c>
    </row>
    <row r="92" spans="2:5" x14ac:dyDescent="0.3">
      <c r="B92" s="22">
        <v>68.11</v>
      </c>
      <c r="C92" s="22"/>
      <c r="D92" s="22"/>
      <c r="E92" s="33">
        <v>44027</v>
      </c>
    </row>
    <row r="93" spans="2:5" x14ac:dyDescent="0.3">
      <c r="B93" s="22">
        <v>68.721999999999994</v>
      </c>
      <c r="C93" s="22"/>
      <c r="D93" s="22"/>
      <c r="E93" s="33">
        <v>44028</v>
      </c>
    </row>
    <row r="94" spans="2:5" x14ac:dyDescent="0.3">
      <c r="B94" s="22">
        <v>70.320999999999998</v>
      </c>
      <c r="C94" s="22"/>
      <c r="D94" s="22"/>
      <c r="E94" s="33">
        <v>44029</v>
      </c>
    </row>
    <row r="95" spans="2:5" x14ac:dyDescent="0.3">
      <c r="B95" s="22">
        <v>70.527000000000001</v>
      </c>
      <c r="C95" s="22"/>
      <c r="D95" s="22"/>
      <c r="E95" s="33">
        <v>44032</v>
      </c>
    </row>
    <row r="96" spans="2:5" x14ac:dyDescent="0.3">
      <c r="B96" s="22">
        <v>71.741</v>
      </c>
      <c r="C96" s="22"/>
      <c r="D96" s="22"/>
      <c r="E96" s="33">
        <v>44033</v>
      </c>
    </row>
    <row r="97" spans="2:5" x14ac:dyDescent="0.3">
      <c r="B97" s="22">
        <v>71.637</v>
      </c>
      <c r="C97" s="22"/>
      <c r="D97" s="22"/>
      <c r="E97" s="33">
        <v>44034</v>
      </c>
    </row>
    <row r="98" spans="2:5" x14ac:dyDescent="0.3">
      <c r="B98" s="22">
        <v>72.274000000000001</v>
      </c>
      <c r="C98" s="22"/>
      <c r="D98" s="22"/>
      <c r="E98" s="33">
        <v>44035</v>
      </c>
    </row>
    <row r="99" spans="2:5" x14ac:dyDescent="0.3">
      <c r="B99" s="22">
        <v>71.938000000000002</v>
      </c>
      <c r="C99" s="22"/>
      <c r="D99" s="22"/>
      <c r="E99" s="33">
        <v>44036</v>
      </c>
    </row>
    <row r="100" spans="2:5" x14ac:dyDescent="0.3">
      <c r="B100" s="22">
        <v>71.239999999999995</v>
      </c>
      <c r="C100" s="22"/>
      <c r="D100" s="22"/>
      <c r="E100" s="33">
        <v>44039</v>
      </c>
    </row>
    <row r="101" spans="2:5" x14ac:dyDescent="0.3">
      <c r="B101" s="22">
        <v>71.528000000000006</v>
      </c>
      <c r="C101" s="22"/>
      <c r="D101" s="22"/>
      <c r="E101" s="33">
        <v>44040</v>
      </c>
    </row>
    <row r="102" spans="2:5" x14ac:dyDescent="0.3">
      <c r="B102" s="22">
        <v>71.367999999999995</v>
      </c>
      <c r="C102" s="22"/>
      <c r="D102" s="22"/>
      <c r="E102" s="33">
        <v>44041</v>
      </c>
    </row>
    <row r="103" spans="2:5" x14ac:dyDescent="0.3">
      <c r="B103" s="22">
        <v>70.397000000000006</v>
      </c>
      <c r="C103" s="22"/>
      <c r="D103" s="22"/>
      <c r="E103" s="33">
        <v>44042</v>
      </c>
    </row>
    <row r="104" spans="2:5" x14ac:dyDescent="0.3">
      <c r="B104" s="22">
        <v>70.299000000000007</v>
      </c>
      <c r="C104" s="22"/>
      <c r="D104" s="22"/>
      <c r="E104" s="33">
        <v>44043</v>
      </c>
    </row>
    <row r="105" spans="2:5" x14ac:dyDescent="0.3">
      <c r="B105" s="22">
        <v>69.837000000000003</v>
      </c>
      <c r="C105" s="22"/>
      <c r="D105" s="22"/>
      <c r="E105" s="33">
        <v>44046</v>
      </c>
    </row>
    <row r="106" spans="2:5" x14ac:dyDescent="0.3">
      <c r="B106" s="22">
        <v>71.009</v>
      </c>
      <c r="C106" s="22"/>
      <c r="D106" s="22"/>
      <c r="E106" s="33">
        <v>44047</v>
      </c>
    </row>
    <row r="107" spans="2:5" x14ac:dyDescent="0.3">
      <c r="B107" s="22">
        <v>70.948999999999998</v>
      </c>
      <c r="C107" s="22"/>
      <c r="D107" s="22"/>
      <c r="E107" s="33">
        <v>44048</v>
      </c>
    </row>
    <row r="108" spans="2:5" x14ac:dyDescent="0.3">
      <c r="B108" s="22">
        <v>71.388000000000005</v>
      </c>
      <c r="C108" s="22"/>
      <c r="D108" s="22"/>
      <c r="E108" s="33">
        <v>44049</v>
      </c>
    </row>
    <row r="109" spans="2:5" x14ac:dyDescent="0.3">
      <c r="B109" s="22">
        <v>71.311999999999998</v>
      </c>
      <c r="C109" s="22"/>
      <c r="D109" s="22"/>
      <c r="E109" s="33">
        <v>44050</v>
      </c>
    </row>
    <row r="110" spans="2:5" x14ac:dyDescent="0.3">
      <c r="B110" s="22">
        <v>72.388000000000005</v>
      </c>
      <c r="C110" s="22"/>
      <c r="D110" s="22"/>
      <c r="E110" s="33">
        <v>44053</v>
      </c>
    </row>
    <row r="111" spans="2:5" x14ac:dyDescent="0.3">
      <c r="B111" s="22">
        <v>73.037999999999997</v>
      </c>
      <c r="C111" s="22"/>
      <c r="D111" s="22"/>
      <c r="E111" s="33">
        <v>44054</v>
      </c>
    </row>
    <row r="112" spans="2:5" x14ac:dyDescent="0.3">
      <c r="B112" s="22">
        <v>73.058999999999997</v>
      </c>
      <c r="C112" s="22"/>
      <c r="D112" s="22"/>
      <c r="E112" s="33">
        <v>44055</v>
      </c>
    </row>
    <row r="113" spans="2:5" x14ac:dyDescent="0.3">
      <c r="B113" s="22">
        <v>73.370999999999995</v>
      </c>
      <c r="C113" s="22"/>
      <c r="D113" s="22"/>
      <c r="E113" s="33">
        <v>44056</v>
      </c>
    </row>
    <row r="114" spans="2:5" x14ac:dyDescent="0.3">
      <c r="B114" s="22">
        <v>72.611999999999995</v>
      </c>
      <c r="C114" s="22"/>
      <c r="D114" s="22"/>
      <c r="E114" s="33">
        <v>44057</v>
      </c>
    </row>
    <row r="115" spans="2:5" x14ac:dyDescent="0.3">
      <c r="B115" s="22">
        <v>72.975999999999999</v>
      </c>
      <c r="C115" s="22"/>
      <c r="D115" s="22"/>
      <c r="E115" s="33">
        <v>44060</v>
      </c>
    </row>
    <row r="116" spans="2:5" x14ac:dyDescent="0.3">
      <c r="B116" s="22">
        <v>73.507000000000005</v>
      </c>
      <c r="C116" s="22"/>
      <c r="D116" s="22"/>
      <c r="E116" s="33">
        <v>44061</v>
      </c>
    </row>
    <row r="117" spans="2:5" x14ac:dyDescent="0.3">
      <c r="B117" s="22">
        <v>73.923000000000002</v>
      </c>
      <c r="C117" s="22"/>
      <c r="D117" s="22"/>
      <c r="E117" s="33">
        <v>44062</v>
      </c>
    </row>
    <row r="118" spans="2:5" x14ac:dyDescent="0.3">
      <c r="B118" s="22">
        <v>73.912999999999997</v>
      </c>
      <c r="C118" s="22"/>
      <c r="D118" s="22"/>
      <c r="E118" s="33">
        <v>44063</v>
      </c>
    </row>
    <row r="119" spans="2:5" x14ac:dyDescent="0.3">
      <c r="B119" s="22">
        <v>74.364999999999995</v>
      </c>
      <c r="C119" s="22"/>
      <c r="D119" s="22"/>
      <c r="E119" s="33">
        <v>44064</v>
      </c>
    </row>
    <row r="120" spans="2:5" x14ac:dyDescent="0.3">
      <c r="B120" s="22">
        <v>74.646000000000001</v>
      </c>
      <c r="C120" s="22"/>
      <c r="D120" s="22"/>
      <c r="E120" s="33">
        <v>44067</v>
      </c>
    </row>
    <row r="121" spans="2:5" x14ac:dyDescent="0.3">
      <c r="B121" s="22">
        <v>74.59</v>
      </c>
      <c r="C121" s="22"/>
      <c r="D121" s="22"/>
      <c r="E121" s="33">
        <v>44068</v>
      </c>
    </row>
    <row r="122" spans="2:5" x14ac:dyDescent="0.3">
      <c r="B122" s="22">
        <v>74.900000000000006</v>
      </c>
      <c r="C122" s="22"/>
      <c r="D122" s="22"/>
      <c r="E122" s="33">
        <v>44069</v>
      </c>
    </row>
    <row r="123" spans="2:5" x14ac:dyDescent="0.3">
      <c r="B123" s="22">
        <v>74.766999999999996</v>
      </c>
      <c r="C123" s="22"/>
      <c r="D123" s="22"/>
      <c r="E123" s="33">
        <v>44070</v>
      </c>
    </row>
    <row r="124" spans="2:5" x14ac:dyDescent="0.3">
      <c r="B124" s="22">
        <v>75.471999999999994</v>
      </c>
      <c r="C124" s="22"/>
      <c r="D124" s="22"/>
      <c r="E124" s="33">
        <v>44071</v>
      </c>
    </row>
    <row r="125" spans="2:5" x14ac:dyDescent="0.3">
      <c r="B125" s="22">
        <v>73.186999999999998</v>
      </c>
      <c r="C125" s="22"/>
      <c r="D125" s="22"/>
      <c r="E125" s="33">
        <v>44074</v>
      </c>
    </row>
    <row r="126" spans="2:5" x14ac:dyDescent="0.3">
      <c r="B126" s="22">
        <v>73.677000000000007</v>
      </c>
      <c r="C126" s="22"/>
      <c r="D126" s="22"/>
      <c r="E126" s="33">
        <v>44075</v>
      </c>
    </row>
    <row r="127" spans="2:5" x14ac:dyDescent="0.3">
      <c r="B127" s="22">
        <v>74.156000000000006</v>
      </c>
      <c r="C127" s="22"/>
      <c r="D127" s="22"/>
      <c r="E127" s="33">
        <v>44076</v>
      </c>
    </row>
    <row r="128" spans="2:5" x14ac:dyDescent="0.3">
      <c r="B128" s="22">
        <v>73.837999999999994</v>
      </c>
      <c r="C128" s="22"/>
      <c r="D128" s="22"/>
      <c r="E128" s="33">
        <v>44077</v>
      </c>
    </row>
    <row r="129" spans="2:5" x14ac:dyDescent="0.3">
      <c r="B129" s="22">
        <v>72.376999999999995</v>
      </c>
      <c r="C129" s="22"/>
      <c r="D129" s="22"/>
      <c r="E129" s="33">
        <v>44078</v>
      </c>
    </row>
    <row r="130" spans="2:5" x14ac:dyDescent="0.3">
      <c r="B130" s="22">
        <v>72.134</v>
      </c>
      <c r="C130" s="22"/>
      <c r="D130" s="22"/>
      <c r="E130" s="33">
        <v>44081</v>
      </c>
    </row>
    <row r="131" spans="2:5" x14ac:dyDescent="0.3">
      <c r="B131" s="22">
        <v>71.576999999999998</v>
      </c>
      <c r="C131" s="22"/>
      <c r="D131" s="22"/>
      <c r="E131" s="33">
        <v>44082</v>
      </c>
    </row>
    <row r="132" spans="2:5" x14ac:dyDescent="0.3">
      <c r="B132" s="22">
        <v>71.158000000000001</v>
      </c>
      <c r="C132" s="22"/>
      <c r="D132" s="22"/>
      <c r="E132" s="33">
        <v>44083</v>
      </c>
    </row>
    <row r="133" spans="2:5" x14ac:dyDescent="0.3">
      <c r="B133" s="22">
        <v>72.423000000000002</v>
      </c>
      <c r="C133" s="22"/>
      <c r="D133" s="22"/>
      <c r="E133" s="33">
        <v>44084</v>
      </c>
    </row>
    <row r="134" spans="2:5" x14ac:dyDescent="0.3">
      <c r="B134" s="22">
        <v>72.353999999999999</v>
      </c>
      <c r="C134" s="22"/>
      <c r="D134" s="22"/>
      <c r="E134" s="33">
        <v>44085</v>
      </c>
    </row>
    <row r="135" spans="2:5" x14ac:dyDescent="0.3">
      <c r="B135" s="22">
        <v>72.322000000000003</v>
      </c>
      <c r="C135" s="22"/>
      <c r="D135" s="22"/>
      <c r="E135" s="33">
        <v>44088</v>
      </c>
    </row>
    <row r="136" spans="2:5" x14ac:dyDescent="0.3">
      <c r="B136" s="22">
        <v>72.878</v>
      </c>
      <c r="C136" s="22"/>
      <c r="D136" s="22"/>
      <c r="E136" s="33">
        <v>44089</v>
      </c>
    </row>
    <row r="137" spans="2:5" x14ac:dyDescent="0.3">
      <c r="B137" s="22">
        <v>73.076999999999998</v>
      </c>
      <c r="C137" s="22"/>
      <c r="D137" s="22"/>
      <c r="E137" s="33">
        <v>44090</v>
      </c>
    </row>
    <row r="138" spans="2:5" x14ac:dyDescent="0.3">
      <c r="B138" s="22">
        <v>72.522999999999996</v>
      </c>
      <c r="C138" s="22"/>
      <c r="D138" s="22"/>
      <c r="E138" s="33">
        <v>44091</v>
      </c>
    </row>
    <row r="139" spans="2:5" x14ac:dyDescent="0.3">
      <c r="B139" s="22">
        <v>72.641000000000005</v>
      </c>
      <c r="C139" s="22"/>
      <c r="D139" s="22"/>
      <c r="E139" s="33">
        <v>44092</v>
      </c>
    </row>
    <row r="140" spans="2:5" x14ac:dyDescent="0.3">
      <c r="B140" s="22">
        <v>70.638999999999996</v>
      </c>
      <c r="C140" s="22"/>
      <c r="D140" s="22"/>
      <c r="E140" s="33">
        <v>44095</v>
      </c>
    </row>
    <row r="141" spans="2:5" x14ac:dyDescent="0.3">
      <c r="B141" s="22">
        <v>69.688999999999993</v>
      </c>
      <c r="C141" s="22"/>
      <c r="D141" s="22"/>
      <c r="E141" s="33">
        <v>44096</v>
      </c>
    </row>
    <row r="142" spans="2:5" x14ac:dyDescent="0.3">
      <c r="B142" s="22">
        <v>69.436000000000007</v>
      </c>
      <c r="C142" s="22"/>
      <c r="D142" s="22"/>
      <c r="E142" s="33">
        <v>44097</v>
      </c>
    </row>
    <row r="143" spans="2:5" x14ac:dyDescent="0.3">
      <c r="B143" s="22">
        <v>67.510000000000005</v>
      </c>
      <c r="C143" s="22"/>
      <c r="D143" s="22"/>
      <c r="E143" s="33">
        <v>44098</v>
      </c>
    </row>
    <row r="144" spans="2:5" x14ac:dyDescent="0.3">
      <c r="B144" s="22">
        <v>69.094999999999999</v>
      </c>
      <c r="C144" s="22"/>
      <c r="D144" s="22"/>
      <c r="E144" s="33">
        <v>44099</v>
      </c>
    </row>
    <row r="145" spans="2:5" x14ac:dyDescent="0.3">
      <c r="B145" s="22">
        <v>70.518000000000001</v>
      </c>
      <c r="C145" s="22"/>
      <c r="D145" s="22"/>
      <c r="E145" s="33">
        <v>44102</v>
      </c>
    </row>
    <row r="146" spans="2:5" x14ac:dyDescent="0.3">
      <c r="B146" s="22">
        <v>70.230999999999995</v>
      </c>
      <c r="C146" s="22"/>
      <c r="D146" s="22"/>
      <c r="E146" s="33">
        <v>44103</v>
      </c>
    </row>
    <row r="147" spans="2:5" x14ac:dyDescent="0.3">
      <c r="B147" s="22">
        <v>70.13</v>
      </c>
      <c r="C147" s="22"/>
      <c r="D147" s="22"/>
      <c r="E147" s="33">
        <v>44104</v>
      </c>
    </row>
    <row r="148" spans="2:5" x14ac:dyDescent="0.3">
      <c r="B148" s="22">
        <v>70.789000000000001</v>
      </c>
      <c r="C148" s="22"/>
      <c r="D148" s="22"/>
      <c r="E148" s="33">
        <v>44105</v>
      </c>
    </row>
    <row r="149" spans="2:5" x14ac:dyDescent="0.3">
      <c r="B149" s="22">
        <v>70.902000000000001</v>
      </c>
      <c r="C149" s="22"/>
      <c r="D149" s="22"/>
      <c r="E149" s="33">
        <v>44109</v>
      </c>
    </row>
    <row r="150" spans="2:5" x14ac:dyDescent="0.3">
      <c r="B150" s="22">
        <v>71.186000000000007</v>
      </c>
      <c r="C150" s="22"/>
      <c r="D150" s="22"/>
      <c r="E150" s="33">
        <v>44110</v>
      </c>
    </row>
    <row r="151" spans="2:5" x14ac:dyDescent="0.3">
      <c r="B151" s="22">
        <v>70.918000000000006</v>
      </c>
      <c r="C151" s="22"/>
      <c r="D151" s="22"/>
      <c r="E151" s="33">
        <v>44111</v>
      </c>
    </row>
    <row r="152" spans="2:5" x14ac:dyDescent="0.3">
      <c r="B152" s="22">
        <v>70.936000000000007</v>
      </c>
      <c r="C152" s="22"/>
      <c r="D152" s="22"/>
      <c r="E152" s="33">
        <v>44112</v>
      </c>
    </row>
    <row r="153" spans="2:5" x14ac:dyDescent="0.3">
      <c r="B153" s="22">
        <v>71.739999999999995</v>
      </c>
      <c r="C153" s="22"/>
      <c r="D153" s="22"/>
      <c r="E153" s="33">
        <v>44113</v>
      </c>
    </row>
    <row r="154" spans="2:5" x14ac:dyDescent="0.3">
      <c r="B154" s="22">
        <v>71.197999999999993</v>
      </c>
      <c r="C154" s="22"/>
      <c r="D154" s="22"/>
      <c r="E154" s="33">
        <v>44116</v>
      </c>
    </row>
    <row r="155" spans="2:5" x14ac:dyDescent="0.3">
      <c r="B155" s="22">
        <v>71.03</v>
      </c>
      <c r="C155" s="22"/>
      <c r="D155" s="22"/>
      <c r="E155" s="33">
        <v>44117</v>
      </c>
    </row>
    <row r="156" spans="2:5" x14ac:dyDescent="0.3">
      <c r="B156" s="22">
        <v>71.165000000000006</v>
      </c>
      <c r="C156" s="22"/>
      <c r="D156" s="22"/>
      <c r="E156" s="33">
        <v>44118</v>
      </c>
    </row>
    <row r="157" spans="2:5" x14ac:dyDescent="0.3">
      <c r="B157" s="22">
        <v>69.587000000000003</v>
      </c>
      <c r="C157" s="22"/>
      <c r="D157" s="22"/>
      <c r="E157" s="33">
        <v>44119</v>
      </c>
    </row>
    <row r="158" spans="2:5" x14ac:dyDescent="0.3">
      <c r="B158" s="22">
        <v>70.459000000000003</v>
      </c>
      <c r="C158" s="22"/>
      <c r="D158" s="22"/>
      <c r="E158" s="33">
        <v>44120</v>
      </c>
    </row>
    <row r="159" spans="2:5" x14ac:dyDescent="0.3">
      <c r="B159" s="22">
        <v>71.242000000000004</v>
      </c>
      <c r="C159" s="22"/>
      <c r="D159" s="22"/>
      <c r="E159" s="33">
        <v>44123</v>
      </c>
    </row>
    <row r="160" spans="2:5" x14ac:dyDescent="0.3">
      <c r="B160" s="22">
        <v>71.233000000000004</v>
      </c>
      <c r="C160" s="22"/>
      <c r="D160" s="22"/>
      <c r="E160" s="33">
        <v>44124</v>
      </c>
    </row>
    <row r="161" spans="2:5" x14ac:dyDescent="0.3">
      <c r="B161" s="22">
        <v>71.858999999999995</v>
      </c>
      <c r="C161" s="22"/>
      <c r="D161" s="22"/>
      <c r="E161" s="33">
        <v>44125</v>
      </c>
    </row>
    <row r="162" spans="2:5" x14ac:dyDescent="0.3">
      <c r="B162" s="22">
        <v>71.959999999999994</v>
      </c>
      <c r="C162" s="22"/>
      <c r="D162" s="22"/>
      <c r="E162" s="33">
        <v>44126</v>
      </c>
    </row>
    <row r="163" spans="2:5" x14ac:dyDescent="0.3">
      <c r="B163" s="22">
        <v>72.293999999999997</v>
      </c>
      <c r="C163" s="22"/>
      <c r="D163" s="22"/>
      <c r="E163" s="33">
        <v>44127</v>
      </c>
    </row>
    <row r="164" spans="2:5" x14ac:dyDescent="0.3">
      <c r="B164" s="22">
        <v>71.156000000000006</v>
      </c>
      <c r="C164" s="22"/>
      <c r="D164" s="22"/>
      <c r="E164" s="33">
        <v>44130</v>
      </c>
    </row>
    <row r="165" spans="2:5" x14ac:dyDescent="0.3">
      <c r="B165" s="22">
        <v>71.718000000000004</v>
      </c>
      <c r="C165" s="22"/>
      <c r="D165" s="22"/>
      <c r="E165" s="33">
        <v>44131</v>
      </c>
    </row>
    <row r="166" spans="2:5" x14ac:dyDescent="0.3">
      <c r="B166" s="22">
        <v>71.075000000000003</v>
      </c>
      <c r="C166" s="22"/>
      <c r="D166" s="22"/>
      <c r="E166" s="33">
        <v>44132</v>
      </c>
    </row>
    <row r="167" spans="2:5" x14ac:dyDescent="0.3">
      <c r="B167" s="22">
        <v>70.628</v>
      </c>
      <c r="C167" s="22"/>
      <c r="D167" s="22"/>
      <c r="E167" s="33">
        <v>44133</v>
      </c>
    </row>
    <row r="168" spans="2:5" x14ac:dyDescent="0.3">
      <c r="B168" s="22">
        <v>70.716999999999999</v>
      </c>
      <c r="C168" s="22"/>
      <c r="D168" s="22"/>
      <c r="E168" s="33">
        <v>44134</v>
      </c>
    </row>
    <row r="169" spans="2:5" x14ac:dyDescent="0.3">
      <c r="B169" s="22">
        <v>71.022000000000006</v>
      </c>
      <c r="C169" s="22"/>
      <c r="D169" s="22"/>
      <c r="E169" s="33">
        <v>44137</v>
      </c>
    </row>
    <row r="170" spans="2:5" x14ac:dyDescent="0.3">
      <c r="B170" s="22">
        <v>71.691999999999993</v>
      </c>
      <c r="C170" s="22"/>
      <c r="D170" s="22"/>
      <c r="E170" s="33">
        <v>44138</v>
      </c>
    </row>
    <row r="171" spans="2:5" x14ac:dyDescent="0.3">
      <c r="B171" s="22">
        <v>71.930000000000007</v>
      </c>
      <c r="C171" s="22"/>
      <c r="D171" s="22"/>
      <c r="E171" s="33">
        <v>44139</v>
      </c>
    </row>
    <row r="172" spans="2:5" x14ac:dyDescent="0.3">
      <c r="B172" s="22">
        <v>73.462000000000003</v>
      </c>
      <c r="C172" s="22"/>
      <c r="D172" s="22"/>
      <c r="E172" s="33">
        <v>44140</v>
      </c>
    </row>
    <row r="173" spans="2:5" x14ac:dyDescent="0.3">
      <c r="B173" s="22">
        <v>73.909000000000006</v>
      </c>
      <c r="C173" s="22"/>
      <c r="D173" s="22"/>
      <c r="E173" s="33">
        <v>44141</v>
      </c>
    </row>
    <row r="174" spans="2:5" x14ac:dyDescent="0.3">
      <c r="B174" s="22">
        <v>75.203999999999994</v>
      </c>
      <c r="C174" s="22"/>
      <c r="D174" s="22"/>
      <c r="E174" s="33">
        <v>44144</v>
      </c>
    </row>
    <row r="175" spans="2:5" x14ac:dyDescent="0.3">
      <c r="B175" s="22">
        <v>76.429000000000002</v>
      </c>
      <c r="C175" s="22"/>
      <c r="D175" s="22"/>
      <c r="E175" s="33">
        <v>44145</v>
      </c>
    </row>
    <row r="176" spans="2:5" x14ac:dyDescent="0.3">
      <c r="B176" s="22">
        <v>77.317999999999998</v>
      </c>
      <c r="C176" s="22"/>
      <c r="D176" s="22"/>
      <c r="E176" s="33">
        <v>44146</v>
      </c>
    </row>
    <row r="177" spans="2:5" x14ac:dyDescent="0.3">
      <c r="B177" s="22">
        <v>76.855999999999995</v>
      </c>
      <c r="C177" s="22"/>
      <c r="D177" s="22"/>
      <c r="E177" s="33">
        <v>44147</v>
      </c>
    </row>
    <row r="178" spans="2:5" x14ac:dyDescent="0.3">
      <c r="B178" s="22">
        <v>77.141000000000005</v>
      </c>
      <c r="C178" s="22"/>
      <c r="D178" s="22"/>
      <c r="E178" s="33">
        <v>44148</v>
      </c>
    </row>
    <row r="179" spans="2:5" x14ac:dyDescent="0.3">
      <c r="B179" s="22">
        <v>78.206000000000003</v>
      </c>
      <c r="C179" s="22"/>
      <c r="D179" s="22"/>
      <c r="E179" s="33">
        <v>44152</v>
      </c>
    </row>
    <row r="180" spans="2:5" x14ac:dyDescent="0.3">
      <c r="B180" s="22">
        <v>78.549000000000007</v>
      </c>
      <c r="C180" s="22"/>
      <c r="D180" s="22"/>
      <c r="E180" s="33">
        <v>44153</v>
      </c>
    </row>
    <row r="181" spans="2:5" x14ac:dyDescent="0.3">
      <c r="B181" s="22">
        <v>78.069999999999993</v>
      </c>
      <c r="C181" s="22"/>
      <c r="D181" s="22"/>
      <c r="E181" s="33">
        <v>44154</v>
      </c>
    </row>
    <row r="182" spans="2:5" x14ac:dyDescent="0.3">
      <c r="B182" s="22">
        <v>78.459999999999994</v>
      </c>
      <c r="C182" s="22"/>
      <c r="D182" s="22"/>
      <c r="E182" s="33">
        <v>44155</v>
      </c>
    </row>
    <row r="183" spans="2:5" x14ac:dyDescent="0.3">
      <c r="B183" s="22">
        <v>78.688000000000002</v>
      </c>
      <c r="C183" s="22"/>
      <c r="D183" s="22"/>
      <c r="E183" s="33">
        <v>44158</v>
      </c>
    </row>
    <row r="184" spans="2:5" x14ac:dyDescent="0.3">
      <c r="B184" s="22">
        <v>79.459000000000003</v>
      </c>
      <c r="C184" s="22"/>
      <c r="D184" s="22"/>
      <c r="E184" s="33">
        <v>44159</v>
      </c>
    </row>
    <row r="185" spans="2:5" x14ac:dyDescent="0.3">
      <c r="B185" s="22">
        <v>78.63</v>
      </c>
      <c r="C185" s="22"/>
      <c r="D185" s="22"/>
      <c r="E185" s="33">
        <v>44160</v>
      </c>
    </row>
    <row r="186" spans="2:5" x14ac:dyDescent="0.3">
      <c r="B186" s="22">
        <v>79.238</v>
      </c>
      <c r="C186" s="22"/>
      <c r="D186" s="22"/>
      <c r="E186" s="33">
        <v>44161</v>
      </c>
    </row>
    <row r="187" spans="2:5" x14ac:dyDescent="0.3">
      <c r="B187" s="22">
        <v>79.03</v>
      </c>
      <c r="C187" s="22"/>
      <c r="D187" s="22"/>
      <c r="E187" s="33">
        <v>44162</v>
      </c>
    </row>
    <row r="188" spans="2:5" x14ac:dyDescent="0.3">
      <c r="B188" s="22">
        <v>79.927999999999997</v>
      </c>
      <c r="C188" s="22"/>
      <c r="D188" s="22"/>
      <c r="E188" s="33">
        <v>44166</v>
      </c>
    </row>
    <row r="189" spans="2:5" x14ac:dyDescent="0.3">
      <c r="B189" s="22">
        <v>80.162000000000006</v>
      </c>
      <c r="C189" s="22"/>
      <c r="D189" s="22"/>
      <c r="E189" s="33">
        <v>44167</v>
      </c>
    </row>
    <row r="190" spans="2:5" x14ac:dyDescent="0.3">
      <c r="B190" s="22">
        <v>80.823999999999998</v>
      </c>
      <c r="C190" s="22"/>
      <c r="D190" s="22"/>
      <c r="E190" s="33">
        <v>44168</v>
      </c>
    </row>
    <row r="191" spans="2:5" x14ac:dyDescent="0.3">
      <c r="B191" s="22">
        <v>81.543999999999997</v>
      </c>
      <c r="C191" s="22"/>
      <c r="D191" s="22"/>
      <c r="E191" s="33">
        <v>44169</v>
      </c>
    </row>
    <row r="192" spans="2:5" x14ac:dyDescent="0.3">
      <c r="B192" s="22">
        <v>82.393000000000001</v>
      </c>
      <c r="C192" s="22"/>
      <c r="D192" s="22"/>
      <c r="E192" s="33">
        <v>44172</v>
      </c>
    </row>
    <row r="193" spans="2:5" x14ac:dyDescent="0.3">
      <c r="B193" s="22">
        <v>82.525999999999996</v>
      </c>
      <c r="C193" s="22"/>
      <c r="D193" s="22"/>
      <c r="E193" s="33">
        <v>44173</v>
      </c>
    </row>
    <row r="194" spans="2:5" x14ac:dyDescent="0.3">
      <c r="B194" s="22">
        <v>83.097999999999999</v>
      </c>
      <c r="C194" s="22"/>
      <c r="D194" s="22"/>
      <c r="E194" s="33">
        <v>44174</v>
      </c>
    </row>
    <row r="195" spans="2:5" x14ac:dyDescent="0.3">
      <c r="B195" s="22">
        <v>82.638000000000005</v>
      </c>
      <c r="C195" s="22"/>
      <c r="D195" s="22"/>
      <c r="E195" s="33">
        <v>44175</v>
      </c>
    </row>
    <row r="196" spans="2:5" x14ac:dyDescent="0.3">
      <c r="B196" s="22">
        <v>83.206000000000003</v>
      </c>
      <c r="C196" s="22"/>
      <c r="D196" s="22"/>
      <c r="E196" s="33">
        <v>44176</v>
      </c>
    </row>
    <row r="197" spans="2:5" x14ac:dyDescent="0.3">
      <c r="B197" s="22">
        <v>85.069000000000003</v>
      </c>
      <c r="C197" s="22"/>
      <c r="D197" s="22"/>
      <c r="E197" s="33">
        <v>44179</v>
      </c>
    </row>
    <row r="198" spans="2:5" x14ac:dyDescent="0.3">
      <c r="B198" s="22">
        <v>85.158000000000001</v>
      </c>
      <c r="C198" s="22"/>
      <c r="D198" s="22"/>
      <c r="E198" s="33">
        <v>44180</v>
      </c>
    </row>
    <row r="199" spans="2:5" x14ac:dyDescent="0.3">
      <c r="B199" s="22">
        <v>86.238</v>
      </c>
      <c r="C199" s="22"/>
      <c r="D199" s="22"/>
      <c r="E199" s="33">
        <v>44181</v>
      </c>
    </row>
    <row r="200" spans="2:5" x14ac:dyDescent="0.3">
      <c r="B200" s="22">
        <v>85.881</v>
      </c>
      <c r="C200" s="22"/>
      <c r="D200" s="22"/>
      <c r="E200" s="33">
        <v>44182</v>
      </c>
    </row>
    <row r="201" spans="2:5" x14ac:dyDescent="0.3">
      <c r="B201" s="22">
        <v>85.84</v>
      </c>
      <c r="C201" s="22"/>
      <c r="D201" s="22"/>
      <c r="E201" s="33">
        <v>44183</v>
      </c>
    </row>
    <row r="202" spans="2:5" x14ac:dyDescent="0.3">
      <c r="B202" s="22">
        <v>82.138999999999996</v>
      </c>
      <c r="C202" s="22"/>
      <c r="D202" s="22"/>
      <c r="E202" s="33">
        <v>44186</v>
      </c>
    </row>
    <row r="203" spans="2:5" x14ac:dyDescent="0.3">
      <c r="B203" s="22">
        <v>83.284000000000006</v>
      </c>
      <c r="C203" s="22"/>
      <c r="D203" s="22"/>
      <c r="E203" s="33">
        <v>44187</v>
      </c>
    </row>
    <row r="204" spans="2:5" x14ac:dyDescent="0.3">
      <c r="B204" s="22">
        <v>84.501000000000005</v>
      </c>
      <c r="C204" s="22"/>
      <c r="D204" s="22"/>
      <c r="E204" s="33">
        <v>44188</v>
      </c>
    </row>
    <row r="205" spans="2:5" x14ac:dyDescent="0.3">
      <c r="B205" s="22">
        <v>85.37</v>
      </c>
      <c r="C205" s="22"/>
      <c r="D205" s="22"/>
      <c r="E205" s="33">
        <v>44189</v>
      </c>
    </row>
    <row r="206" spans="2:5" x14ac:dyDescent="0.3">
      <c r="B206" s="22">
        <v>86.191000000000003</v>
      </c>
      <c r="C206" s="22"/>
      <c r="D206" s="22"/>
      <c r="E206" s="33">
        <v>44193</v>
      </c>
    </row>
    <row r="207" spans="2:5" x14ac:dyDescent="0.3">
      <c r="B207" s="22">
        <v>86.367999999999995</v>
      </c>
      <c r="C207" s="22"/>
      <c r="D207" s="22"/>
      <c r="E207" s="33">
        <v>44194</v>
      </c>
    </row>
    <row r="208" spans="2:5" x14ac:dyDescent="0.3">
      <c r="B208" s="22">
        <v>86.619</v>
      </c>
      <c r="C208" s="22"/>
      <c r="D208" s="22"/>
      <c r="E208" s="33">
        <v>44195</v>
      </c>
    </row>
    <row r="209" spans="2:5" x14ac:dyDescent="0.3">
      <c r="B209" s="22">
        <v>86.646000000000001</v>
      </c>
      <c r="C209" s="22"/>
      <c r="D209" s="22"/>
      <c r="E209" s="33">
        <v>44196</v>
      </c>
    </row>
    <row r="210" spans="2:5" x14ac:dyDescent="0.3">
      <c r="B210" s="22">
        <v>87.063000000000002</v>
      </c>
      <c r="C210" s="22"/>
      <c r="D210" s="22"/>
      <c r="E210" s="33">
        <v>44197</v>
      </c>
    </row>
    <row r="211" spans="2:5" x14ac:dyDescent="0.3">
      <c r="B211" s="22">
        <v>87.971000000000004</v>
      </c>
      <c r="C211" s="22"/>
      <c r="D211" s="22"/>
      <c r="E211" s="33">
        <v>44200</v>
      </c>
    </row>
    <row r="212" spans="2:5" x14ac:dyDescent="0.3">
      <c r="B212" s="22">
        <v>88.126000000000005</v>
      </c>
      <c r="C212" s="22"/>
      <c r="D212" s="22"/>
      <c r="E212" s="33">
        <v>44201</v>
      </c>
    </row>
    <row r="213" spans="2:5" x14ac:dyDescent="0.3">
      <c r="B213" s="22">
        <v>88.144999999999996</v>
      </c>
      <c r="C213" s="22"/>
      <c r="D213" s="22"/>
      <c r="E213" s="33">
        <v>44202</v>
      </c>
    </row>
    <row r="214" spans="2:5" x14ac:dyDescent="0.3">
      <c r="B214" s="22">
        <v>88.557000000000002</v>
      </c>
      <c r="C214" s="22"/>
      <c r="D214" s="22"/>
      <c r="E214" s="33">
        <v>44203</v>
      </c>
    </row>
    <row r="215" spans="2:5" x14ac:dyDescent="0.3">
      <c r="B215" s="22">
        <v>89.531999999999996</v>
      </c>
      <c r="C215" s="22"/>
      <c r="D215" s="22"/>
      <c r="E215" s="33">
        <v>44204</v>
      </c>
    </row>
    <row r="216" spans="2:5" x14ac:dyDescent="0.3">
      <c r="B216" s="22">
        <v>89.457999999999998</v>
      </c>
      <c r="C216" s="22"/>
      <c r="D216" s="22"/>
      <c r="E216" s="33">
        <v>44207</v>
      </c>
    </row>
    <row r="217" spans="2:5" x14ac:dyDescent="0.3">
      <c r="B217" s="22">
        <v>90.320999999999998</v>
      </c>
      <c r="C217" s="22"/>
      <c r="D217" s="22"/>
      <c r="E217" s="33">
        <v>44208</v>
      </c>
    </row>
    <row r="218" spans="2:5" x14ac:dyDescent="0.3">
      <c r="B218" s="22">
        <v>91.027000000000001</v>
      </c>
      <c r="C218" s="22"/>
      <c r="D218" s="22"/>
      <c r="E218" s="33">
        <v>44209</v>
      </c>
    </row>
    <row r="219" spans="2:5" x14ac:dyDescent="0.3">
      <c r="B219" s="22">
        <v>91.625</v>
      </c>
      <c r="C219" s="22"/>
      <c r="D219" s="22"/>
      <c r="E219" s="33">
        <v>44210</v>
      </c>
    </row>
    <row r="220" spans="2:5" x14ac:dyDescent="0.3">
      <c r="B220" s="22">
        <v>90.596999999999994</v>
      </c>
      <c r="C220" s="22"/>
      <c r="D220" s="22"/>
      <c r="E220" s="33">
        <v>44211</v>
      </c>
    </row>
    <row r="221" spans="2:5" x14ac:dyDescent="0.3">
      <c r="B221" s="22">
        <v>89.388999999999996</v>
      </c>
      <c r="C221" s="22"/>
      <c r="D221" s="22"/>
      <c r="E221" s="33">
        <v>44214</v>
      </c>
    </row>
    <row r="222" spans="2:5" x14ac:dyDescent="0.3">
      <c r="B222" s="22">
        <v>90.626999999999995</v>
      </c>
      <c r="C222" s="22"/>
      <c r="D222" s="22"/>
      <c r="E222" s="33">
        <v>44215</v>
      </c>
    </row>
    <row r="223" spans="2:5" x14ac:dyDescent="0.3">
      <c r="B223" s="22">
        <v>90.950999999999993</v>
      </c>
      <c r="C223" s="22"/>
      <c r="D223" s="22"/>
      <c r="E223" s="33">
        <v>44216</v>
      </c>
    </row>
    <row r="224" spans="2:5" x14ac:dyDescent="0.3">
      <c r="B224" s="22">
        <v>90.033000000000001</v>
      </c>
      <c r="C224" s="22"/>
      <c r="D224" s="22"/>
      <c r="E224" s="33">
        <v>44217</v>
      </c>
    </row>
    <row r="225" spans="2:5" x14ac:dyDescent="0.3">
      <c r="B225" s="22">
        <v>88.781000000000006</v>
      </c>
      <c r="C225" s="22"/>
      <c r="D225" s="22"/>
      <c r="E225" s="33">
        <v>44218</v>
      </c>
    </row>
    <row r="226" spans="2:5" x14ac:dyDescent="0.3">
      <c r="B226" s="22">
        <v>88.111000000000004</v>
      </c>
      <c r="C226" s="22"/>
      <c r="D226" s="22"/>
      <c r="E226" s="33">
        <v>44221</v>
      </c>
    </row>
    <row r="227" spans="2:5" x14ac:dyDescent="0.3">
      <c r="B227" s="22">
        <v>86.784999999999997</v>
      </c>
      <c r="C227" s="22"/>
      <c r="D227" s="22"/>
      <c r="E227" s="33">
        <v>44223</v>
      </c>
    </row>
    <row r="228" spans="2:5" x14ac:dyDescent="0.3">
      <c r="B228" s="22">
        <v>86.468999999999994</v>
      </c>
      <c r="C228" s="22"/>
      <c r="D228" s="22"/>
      <c r="E228" s="33">
        <v>44224</v>
      </c>
    </row>
    <row r="229" spans="2:5" x14ac:dyDescent="0.3">
      <c r="B229" s="22">
        <v>85.54</v>
      </c>
      <c r="C229" s="22"/>
      <c r="D229" s="22"/>
      <c r="E229" s="33">
        <v>44225</v>
      </c>
    </row>
    <row r="230" spans="2:5" x14ac:dyDescent="0.3">
      <c r="B230" s="22">
        <v>89.442999999999998</v>
      </c>
      <c r="C230" s="22"/>
      <c r="D230" s="22"/>
      <c r="E230" s="33">
        <v>44228</v>
      </c>
    </row>
    <row r="231" spans="2:5" x14ac:dyDescent="0.3">
      <c r="B231" s="22">
        <v>92.924999999999997</v>
      </c>
      <c r="C231" s="22"/>
      <c r="D231" s="22"/>
      <c r="E231" s="33">
        <v>44229</v>
      </c>
    </row>
    <row r="232" spans="2:5" x14ac:dyDescent="0.3">
      <c r="B232" s="22">
        <v>93.867000000000004</v>
      </c>
      <c r="C232" s="22"/>
      <c r="D232" s="22"/>
      <c r="E232" s="33">
        <v>44230</v>
      </c>
    </row>
    <row r="233" spans="2:5" x14ac:dyDescent="0.3">
      <c r="B233" s="22">
        <v>95.016999999999996</v>
      </c>
      <c r="C233" s="22"/>
      <c r="D233" s="22"/>
      <c r="E233" s="33">
        <v>44231</v>
      </c>
    </row>
    <row r="234" spans="2:5" x14ac:dyDescent="0.3">
      <c r="B234" s="22">
        <v>95.183000000000007</v>
      </c>
      <c r="C234" s="22"/>
      <c r="D234" s="22"/>
      <c r="E234" s="33">
        <v>44232</v>
      </c>
    </row>
    <row r="235" spans="2:5" x14ac:dyDescent="0.3">
      <c r="B235" s="22">
        <v>96.744</v>
      </c>
      <c r="C235" s="22"/>
      <c r="D235" s="22"/>
      <c r="E235" s="33">
        <v>44235</v>
      </c>
    </row>
    <row r="236" spans="2:5" x14ac:dyDescent="0.3">
      <c r="B236" s="22">
        <v>96.58</v>
      </c>
      <c r="C236" s="22"/>
      <c r="D236" s="22"/>
      <c r="E236" s="33">
        <v>44236</v>
      </c>
    </row>
    <row r="237" spans="2:5" x14ac:dyDescent="0.3">
      <c r="B237" s="22">
        <v>96.18</v>
      </c>
      <c r="C237" s="22"/>
      <c r="D237" s="22"/>
      <c r="E237" s="33">
        <v>44237</v>
      </c>
    </row>
    <row r="238" spans="2:5" x14ac:dyDescent="0.3">
      <c r="B238" s="22">
        <v>96.305999999999997</v>
      </c>
      <c r="C238" s="22"/>
      <c r="D238" s="22"/>
      <c r="E238" s="33">
        <v>44238</v>
      </c>
    </row>
    <row r="239" spans="2:5" x14ac:dyDescent="0.3">
      <c r="B239" s="22">
        <v>96.135999999999996</v>
      </c>
      <c r="C239" s="22"/>
      <c r="D239" s="22"/>
      <c r="E239" s="33">
        <v>44239</v>
      </c>
    </row>
    <row r="240" spans="2:5" x14ac:dyDescent="0.3">
      <c r="B240" s="22">
        <v>97.206999999999994</v>
      </c>
      <c r="C240" s="22"/>
      <c r="D240" s="22"/>
      <c r="E240" s="33">
        <v>44242</v>
      </c>
    </row>
    <row r="241" spans="2:5" x14ac:dyDescent="0.3">
      <c r="B241" s="22">
        <v>97.364999999999995</v>
      </c>
      <c r="C241" s="22"/>
      <c r="D241" s="22"/>
      <c r="E241" s="33">
        <v>44243</v>
      </c>
    </row>
    <row r="242" spans="2:5" x14ac:dyDescent="0.3">
      <c r="B242" s="22">
        <v>97.954999999999998</v>
      </c>
      <c r="C242" s="22"/>
      <c r="D242" s="22"/>
      <c r="E242" s="33">
        <v>44244</v>
      </c>
    </row>
    <row r="243" spans="2:5" x14ac:dyDescent="0.3">
      <c r="B243" s="22">
        <v>98.322000000000003</v>
      </c>
      <c r="C243" s="22"/>
      <c r="D243" s="22"/>
      <c r="E243" s="33">
        <v>44245</v>
      </c>
    </row>
    <row r="244" spans="2:5" x14ac:dyDescent="0.3">
      <c r="B244" s="22">
        <v>96.876000000000005</v>
      </c>
      <c r="C244" s="22"/>
      <c r="D244" s="22"/>
      <c r="E244" s="33">
        <v>44246</v>
      </c>
    </row>
    <row r="245" spans="2:5" x14ac:dyDescent="0.3">
      <c r="B245" s="22">
        <v>95.007000000000005</v>
      </c>
      <c r="C245" s="22"/>
      <c r="D245" s="22"/>
      <c r="E245" s="33">
        <v>44249</v>
      </c>
    </row>
    <row r="246" spans="2:5" x14ac:dyDescent="0.3">
      <c r="B246" s="22">
        <v>95.855999999999995</v>
      </c>
      <c r="C246" s="22"/>
      <c r="D246" s="22"/>
      <c r="E246" s="33">
        <v>44250</v>
      </c>
    </row>
    <row r="247" spans="2:5" x14ac:dyDescent="0.3">
      <c r="B247" s="22">
        <v>97.412999999999997</v>
      </c>
      <c r="C247" s="22"/>
      <c r="D247" s="22"/>
      <c r="E247" s="33">
        <v>44251</v>
      </c>
    </row>
    <row r="248" spans="2:5" x14ac:dyDescent="0.3">
      <c r="B248" s="22">
        <v>98.802999999999997</v>
      </c>
      <c r="C248" s="22"/>
      <c r="D248" s="22"/>
      <c r="E248" s="33">
        <v>44252</v>
      </c>
    </row>
    <row r="249" spans="2:5" x14ac:dyDescent="0.3">
      <c r="B249" s="22">
        <v>95.787999999999997</v>
      </c>
      <c r="C249" s="22"/>
      <c r="D249" s="22"/>
      <c r="E249" s="33">
        <v>44253</v>
      </c>
    </row>
    <row r="250" spans="2:5" x14ac:dyDescent="0.3">
      <c r="B250" s="22">
        <v>96.945999999999998</v>
      </c>
      <c r="C250" s="22"/>
      <c r="D250" s="22"/>
      <c r="E250" s="33">
        <v>44256</v>
      </c>
    </row>
    <row r="251" spans="2:5" x14ac:dyDescent="0.3">
      <c r="B251" s="22">
        <v>98.341999999999999</v>
      </c>
      <c r="C251" s="22"/>
      <c r="D251" s="22"/>
      <c r="E251" s="33">
        <v>44257</v>
      </c>
    </row>
    <row r="252" spans="2:5" x14ac:dyDescent="0.3">
      <c r="B252" s="22">
        <v>99.95</v>
      </c>
      <c r="C252" s="22"/>
      <c r="D252" s="22"/>
      <c r="E252" s="33">
        <v>44258</v>
      </c>
    </row>
    <row r="253" spans="2:5" x14ac:dyDescent="0.3">
      <c r="B253" s="22">
        <v>98.858000000000004</v>
      </c>
      <c r="C253" s="22"/>
      <c r="D253" s="22"/>
      <c r="E253" s="33">
        <v>44259</v>
      </c>
    </row>
    <row r="254" spans="2:5" x14ac:dyDescent="0.3">
      <c r="B254" s="22">
        <v>97.613</v>
      </c>
      <c r="C254" s="22"/>
      <c r="D254" s="22"/>
      <c r="E254" s="33">
        <v>44260</v>
      </c>
    </row>
    <row r="255" spans="2:5" x14ac:dyDescent="0.3">
      <c r="B255" s="22">
        <v>98.239000000000004</v>
      </c>
      <c r="C255" s="22"/>
      <c r="D255" s="22"/>
      <c r="E255" s="33">
        <v>44263</v>
      </c>
    </row>
    <row r="256" spans="2:5" x14ac:dyDescent="0.3">
      <c r="B256" s="22">
        <v>97.82</v>
      </c>
      <c r="C256" s="22"/>
      <c r="D256" s="22"/>
      <c r="E256" s="33">
        <v>44264</v>
      </c>
    </row>
    <row r="257" spans="2:5" x14ac:dyDescent="0.3">
      <c r="B257" s="22">
        <v>98.100999999999999</v>
      </c>
      <c r="C257" s="22"/>
      <c r="D257" s="22"/>
      <c r="E257" s="33">
        <v>44265</v>
      </c>
    </row>
    <row r="258" spans="2:5" x14ac:dyDescent="0.3">
      <c r="B258" s="22">
        <v>97.597999999999999</v>
      </c>
      <c r="C258" s="22"/>
      <c r="D258" s="22"/>
      <c r="E258" s="33">
        <v>44267</v>
      </c>
    </row>
    <row r="259" spans="2:5" x14ac:dyDescent="0.3">
      <c r="B259" s="22">
        <v>97.688999999999993</v>
      </c>
      <c r="C259" s="22"/>
      <c r="D259" s="22"/>
      <c r="E259" s="33">
        <v>44270</v>
      </c>
    </row>
    <row r="260" spans="2:5" x14ac:dyDescent="0.3">
      <c r="B260" s="22">
        <v>97.201999999999998</v>
      </c>
      <c r="C260" s="22"/>
      <c r="D260" s="22"/>
      <c r="E260" s="33">
        <v>44271</v>
      </c>
    </row>
    <row r="261" spans="2:5" x14ac:dyDescent="0.3">
      <c r="B261" s="22">
        <v>95.495000000000005</v>
      </c>
      <c r="C261" s="22"/>
      <c r="D261" s="22"/>
      <c r="E261" s="33">
        <v>44272</v>
      </c>
    </row>
    <row r="262" spans="2:5" x14ac:dyDescent="0.3">
      <c r="B262" s="22">
        <v>94.536000000000001</v>
      </c>
      <c r="C262" s="22"/>
      <c r="D262" s="22"/>
      <c r="E262" s="33">
        <v>44273</v>
      </c>
    </row>
    <row r="263" spans="2:5" x14ac:dyDescent="0.3">
      <c r="B263" s="22">
        <v>95.561999999999998</v>
      </c>
      <c r="C263" s="22"/>
      <c r="D263" s="22"/>
      <c r="E263" s="33">
        <v>44274</v>
      </c>
    </row>
    <row r="264" spans="2:5" x14ac:dyDescent="0.3">
      <c r="B264" s="22">
        <v>95.641000000000005</v>
      </c>
      <c r="C264" s="22"/>
      <c r="D264" s="22"/>
      <c r="E264" s="33">
        <v>44277</v>
      </c>
    </row>
    <row r="265" spans="2:5" x14ac:dyDescent="0.3">
      <c r="B265" s="22">
        <v>96.221999999999994</v>
      </c>
      <c r="C265" s="22"/>
      <c r="D265" s="22"/>
      <c r="E265" s="33">
        <v>44278</v>
      </c>
    </row>
    <row r="266" spans="2:5" x14ac:dyDescent="0.3">
      <c r="B266" s="22">
        <v>94.259</v>
      </c>
      <c r="C266" s="22"/>
      <c r="D266" s="22"/>
      <c r="E266" s="33">
        <v>44279</v>
      </c>
    </row>
    <row r="267" spans="2:5" x14ac:dyDescent="0.3">
      <c r="B267" s="22">
        <v>92.942999999999998</v>
      </c>
      <c r="C267" s="22"/>
      <c r="D267" s="22"/>
      <c r="E267" s="33">
        <v>44280</v>
      </c>
    </row>
    <row r="268" spans="2:5" x14ac:dyDescent="0.3">
      <c r="B268" s="22">
        <v>93.891999999999996</v>
      </c>
      <c r="C268" s="22"/>
      <c r="D268" s="22"/>
      <c r="E268" s="33">
        <v>44281</v>
      </c>
    </row>
    <row r="269" spans="2:5" x14ac:dyDescent="0.3">
      <c r="B269" s="22">
        <v>95.772999999999996</v>
      </c>
      <c r="C269" s="22"/>
      <c r="D269" s="22"/>
      <c r="E269" s="33">
        <v>44285</v>
      </c>
    </row>
    <row r="270" spans="2:5" x14ac:dyDescent="0.3">
      <c r="B270" s="22">
        <v>95.320999999999998</v>
      </c>
      <c r="C270" s="22"/>
      <c r="D270" s="22"/>
      <c r="E270" s="33">
        <v>44286</v>
      </c>
    </row>
    <row r="271" spans="2:5" x14ac:dyDescent="0.3">
      <c r="B271" s="22">
        <v>96.78</v>
      </c>
      <c r="C271" s="22"/>
      <c r="D271" s="22"/>
      <c r="E271" s="33">
        <v>44287</v>
      </c>
    </row>
    <row r="272" spans="2:5" x14ac:dyDescent="0.3">
      <c r="B272" s="22">
        <v>95.08</v>
      </c>
      <c r="C272" s="22"/>
      <c r="D272" s="22"/>
      <c r="E272" s="33">
        <v>44291</v>
      </c>
    </row>
    <row r="273" spans="2:5" x14ac:dyDescent="0.3">
      <c r="B273" s="22">
        <v>94.995000000000005</v>
      </c>
      <c r="C273" s="22"/>
      <c r="D273" s="22"/>
      <c r="E273" s="33">
        <v>44292</v>
      </c>
    </row>
    <row r="274" spans="2:5" x14ac:dyDescent="0.3">
      <c r="B274" s="22">
        <v>95.78</v>
      </c>
      <c r="C274" s="22"/>
      <c r="D274" s="22"/>
      <c r="E274" s="33">
        <v>44293</v>
      </c>
    </row>
    <row r="275" spans="2:5" x14ac:dyDescent="0.3">
      <c r="B275" s="22">
        <v>96.17</v>
      </c>
      <c r="C275" s="22"/>
      <c r="D275" s="22"/>
      <c r="E275" s="33">
        <v>44294</v>
      </c>
    </row>
    <row r="276" spans="2:5" x14ac:dyDescent="0.3">
      <c r="B276" s="22">
        <v>95.462000000000003</v>
      </c>
      <c r="C276" s="22"/>
      <c r="D276" s="22"/>
      <c r="E276" s="33">
        <v>44295</v>
      </c>
    </row>
    <row r="277" spans="2:5" x14ac:dyDescent="0.3">
      <c r="B277" s="22">
        <v>91.665000000000006</v>
      </c>
      <c r="C277" s="22"/>
      <c r="D277" s="22"/>
      <c r="E277" s="33">
        <v>44298</v>
      </c>
    </row>
    <row r="278" spans="2:5" x14ac:dyDescent="0.3">
      <c r="B278" s="22">
        <v>93.141999999999996</v>
      </c>
      <c r="C278" s="22"/>
      <c r="D278" s="22"/>
      <c r="E278" s="33">
        <v>44299</v>
      </c>
    </row>
    <row r="279" spans="2:5" x14ac:dyDescent="0.3">
      <c r="B279" s="22">
        <v>93.472999999999999</v>
      </c>
      <c r="C279" s="22"/>
      <c r="D279" s="22"/>
      <c r="E279" s="33">
        <v>44301</v>
      </c>
    </row>
    <row r="280" spans="2:5" x14ac:dyDescent="0.3">
      <c r="B280" s="22">
        <v>93.594999999999999</v>
      </c>
      <c r="C280" s="22"/>
      <c r="D280" s="22"/>
      <c r="E280" s="33">
        <v>44302</v>
      </c>
    </row>
    <row r="281" spans="2:5" x14ac:dyDescent="0.3">
      <c r="B281" s="22">
        <v>92.102999999999994</v>
      </c>
      <c r="C281" s="22"/>
      <c r="D281" s="22"/>
      <c r="E281" s="33">
        <v>44305</v>
      </c>
    </row>
    <row r="282" spans="2:5" x14ac:dyDescent="0.3">
      <c r="B282" s="22">
        <v>92.14</v>
      </c>
      <c r="C282" s="22"/>
      <c r="D282" s="22"/>
      <c r="E282" s="33">
        <v>44306</v>
      </c>
    </row>
    <row r="283" spans="2:5" x14ac:dyDescent="0.3">
      <c r="B283" s="22">
        <v>92.909000000000006</v>
      </c>
      <c r="C283" s="22"/>
      <c r="D283" s="22"/>
      <c r="E283" s="33">
        <v>44308</v>
      </c>
    </row>
    <row r="284" spans="2:5" x14ac:dyDescent="0.3">
      <c r="B284" s="22">
        <v>92.912000000000006</v>
      </c>
      <c r="C284" s="22"/>
      <c r="D284" s="22"/>
      <c r="E284" s="33">
        <v>44309</v>
      </c>
    </row>
    <row r="285" spans="2:5" x14ac:dyDescent="0.3">
      <c r="B285" s="22">
        <v>93.878</v>
      </c>
      <c r="C285" s="22"/>
      <c r="D285" s="22"/>
      <c r="E285" s="33">
        <v>44312</v>
      </c>
    </row>
    <row r="286" spans="2:5" x14ac:dyDescent="0.3">
      <c r="B286" s="22">
        <v>95.021000000000001</v>
      </c>
      <c r="C286" s="22"/>
      <c r="D286" s="22"/>
      <c r="E286" s="33">
        <v>44313</v>
      </c>
    </row>
    <row r="287" spans="2:5" x14ac:dyDescent="0.3">
      <c r="B287" s="22">
        <v>96.253</v>
      </c>
      <c r="C287" s="22"/>
      <c r="D287" s="22"/>
      <c r="E287" s="33">
        <v>44314</v>
      </c>
    </row>
    <row r="288" spans="2:5" x14ac:dyDescent="0.3">
      <c r="B288" s="22">
        <v>96.290999999999997</v>
      </c>
      <c r="C288" s="22"/>
      <c r="D288" s="22"/>
      <c r="E288" s="33">
        <v>44315</v>
      </c>
    </row>
    <row r="289" spans="2:5" x14ac:dyDescent="0.3">
      <c r="B289" s="22">
        <v>95.22</v>
      </c>
      <c r="C289" s="22"/>
      <c r="D289" s="22"/>
      <c r="E289" s="33">
        <v>44316</v>
      </c>
    </row>
    <row r="290" spans="2:5" x14ac:dyDescent="0.3">
      <c r="B290" s="22">
        <v>95.195999999999998</v>
      </c>
      <c r="C290" s="22"/>
      <c r="D290" s="22"/>
      <c r="E290" s="33">
        <v>44319</v>
      </c>
    </row>
    <row r="291" spans="2:5" x14ac:dyDescent="0.3">
      <c r="B291" s="22">
        <v>94.635000000000005</v>
      </c>
      <c r="C291" s="22"/>
      <c r="D291" s="22"/>
      <c r="E291" s="33">
        <v>44320</v>
      </c>
    </row>
    <row r="292" spans="2:5" x14ac:dyDescent="0.3">
      <c r="B292" s="22">
        <v>95.766999999999996</v>
      </c>
      <c r="C292" s="22"/>
      <c r="D292" s="22"/>
      <c r="E292" s="33">
        <v>44321</v>
      </c>
    </row>
    <row r="293" spans="2:5" x14ac:dyDescent="0.3">
      <c r="B293" s="22">
        <v>96.296999999999997</v>
      </c>
      <c r="C293" s="22"/>
      <c r="D293" s="22"/>
      <c r="E293" s="33">
        <v>44322</v>
      </c>
    </row>
    <row r="294" spans="2:5" x14ac:dyDescent="0.3">
      <c r="B294" s="22">
        <v>96.808999999999997</v>
      </c>
      <c r="C294" s="22"/>
      <c r="D294" s="22"/>
      <c r="E294" s="33">
        <v>44323</v>
      </c>
    </row>
    <row r="295" spans="2:5" x14ac:dyDescent="0.3">
      <c r="B295" s="22">
        <v>97.683999999999997</v>
      </c>
      <c r="C295" s="22"/>
      <c r="D295" s="22"/>
      <c r="E295" s="33">
        <v>44326</v>
      </c>
    </row>
    <row r="296" spans="2:5" x14ac:dyDescent="0.3">
      <c r="B296" s="22">
        <v>98.15</v>
      </c>
      <c r="C296" s="22"/>
      <c r="D296" s="22"/>
      <c r="E296" s="33">
        <v>44327</v>
      </c>
    </row>
    <row r="297" spans="2:5" x14ac:dyDescent="0.3">
      <c r="B297" s="22">
        <v>97.617000000000004</v>
      </c>
      <c r="C297" s="22"/>
      <c r="D297" s="22"/>
      <c r="E297" s="33">
        <v>44328</v>
      </c>
    </row>
    <row r="298" spans="2:5" x14ac:dyDescent="0.3">
      <c r="B298" s="22">
        <v>97.034999999999997</v>
      </c>
      <c r="C298" s="22"/>
      <c r="D298" s="22"/>
      <c r="E298" s="33">
        <v>44330</v>
      </c>
    </row>
    <row r="299" spans="2:5" x14ac:dyDescent="0.3">
      <c r="B299" s="22">
        <v>98.546999999999997</v>
      </c>
      <c r="C299" s="22"/>
      <c r="D299" s="22"/>
      <c r="E299" s="33">
        <v>44333</v>
      </c>
    </row>
    <row r="300" spans="2:5" x14ac:dyDescent="0.3">
      <c r="B300" s="22">
        <v>99.861999999999995</v>
      </c>
      <c r="C300" s="22"/>
      <c r="D300" s="22"/>
      <c r="E300" s="33">
        <v>44334</v>
      </c>
    </row>
    <row r="301" spans="2:5" x14ac:dyDescent="0.3">
      <c r="B301" s="22">
        <v>99.759</v>
      </c>
      <c r="C301" s="22"/>
      <c r="D301" s="22"/>
      <c r="E301" s="33">
        <v>44335</v>
      </c>
    </row>
    <row r="302" spans="2:5" x14ac:dyDescent="0.3">
      <c r="B302" s="22">
        <v>99.385000000000005</v>
      </c>
      <c r="C302" s="22"/>
      <c r="D302" s="22"/>
      <c r="E302" s="33">
        <v>44336</v>
      </c>
    </row>
    <row r="303" spans="2:5" x14ac:dyDescent="0.3">
      <c r="B303" s="22">
        <v>101.19799999999999</v>
      </c>
      <c r="C303" s="22"/>
      <c r="D303" s="22"/>
      <c r="E303" s="33">
        <v>44337</v>
      </c>
    </row>
    <row r="304" spans="2:5" x14ac:dyDescent="0.3">
      <c r="B304" s="22">
        <v>102.004</v>
      </c>
      <c r="C304" s="22"/>
      <c r="D304" s="22"/>
      <c r="E304" s="33">
        <v>44340</v>
      </c>
    </row>
    <row r="305" spans="2:5" x14ac:dyDescent="0.3">
      <c r="B305" s="22">
        <v>101.81399999999999</v>
      </c>
      <c r="C305" s="22"/>
      <c r="D305" s="22"/>
      <c r="E305" s="33">
        <v>44341</v>
      </c>
    </row>
    <row r="306" spans="2:5" x14ac:dyDescent="0.3">
      <c r="B306" s="22">
        <v>102.062</v>
      </c>
      <c r="C306" s="22"/>
      <c r="D306" s="22"/>
      <c r="E306" s="33">
        <v>44342</v>
      </c>
    </row>
    <row r="307" spans="2:5" x14ac:dyDescent="0.3">
      <c r="B307" s="22">
        <v>102.46899999999999</v>
      </c>
      <c r="C307" s="22"/>
      <c r="D307" s="22"/>
      <c r="E307" s="33">
        <v>44343</v>
      </c>
    </row>
    <row r="308" spans="2:5" x14ac:dyDescent="0.3">
      <c r="B308" s="22">
        <v>102.34699999999999</v>
      </c>
      <c r="C308" s="22"/>
      <c r="D308" s="22"/>
      <c r="E308" s="33">
        <v>44344</v>
      </c>
    </row>
    <row r="309" spans="2:5" x14ac:dyDescent="0.3">
      <c r="B309" s="22">
        <v>103.309</v>
      </c>
      <c r="C309" s="22"/>
      <c r="D309" s="22"/>
      <c r="E309" s="33">
        <v>44347</v>
      </c>
    </row>
    <row r="310" spans="2:5" x14ac:dyDescent="0.3">
      <c r="B310" s="22">
        <v>103.12</v>
      </c>
      <c r="C310" s="22"/>
      <c r="D310" s="22"/>
      <c r="E310" s="33">
        <v>44348</v>
      </c>
    </row>
    <row r="311" spans="2:5" x14ac:dyDescent="0.3">
      <c r="B311" s="22">
        <v>103.58</v>
      </c>
      <c r="C311" s="22"/>
      <c r="D311" s="22"/>
      <c r="E311" s="33">
        <v>44349</v>
      </c>
    </row>
    <row r="312" spans="2:5" x14ac:dyDescent="0.3">
      <c r="B312" s="22">
        <v>104.31100000000001</v>
      </c>
      <c r="C312" s="22"/>
      <c r="D312" s="22"/>
      <c r="E312" s="33">
        <v>44350</v>
      </c>
    </row>
    <row r="313" spans="2:5" x14ac:dyDescent="0.3">
      <c r="B313" s="22">
        <v>104.15</v>
      </c>
      <c r="C313" s="22"/>
      <c r="D313" s="22"/>
      <c r="E313" s="33">
        <v>44351</v>
      </c>
    </row>
    <row r="314" spans="2:5" x14ac:dyDescent="0.3">
      <c r="B314" s="22">
        <v>105.401</v>
      </c>
      <c r="C314" s="22"/>
      <c r="D314" s="22"/>
      <c r="E314" s="33">
        <v>44354</v>
      </c>
    </row>
    <row r="315" spans="2:5" x14ac:dyDescent="0.3">
      <c r="B315" s="22">
        <v>105.248</v>
      </c>
      <c r="C315" s="22"/>
      <c r="D315" s="22"/>
      <c r="E315" s="33">
        <v>44355</v>
      </c>
    </row>
    <row r="316" spans="2:5" x14ac:dyDescent="0.3">
      <c r="B316" s="22">
        <v>104.416</v>
      </c>
      <c r="C316" s="22"/>
      <c r="D316" s="22"/>
      <c r="E316" s="33">
        <v>44356</v>
      </c>
    </row>
    <row r="317" spans="2:5" x14ac:dyDescent="0.3">
      <c r="B317" s="22">
        <v>105.33</v>
      </c>
      <c r="C317" s="22"/>
      <c r="D317" s="22"/>
      <c r="E317" s="33">
        <v>44357</v>
      </c>
    </row>
    <row r="318" spans="2:5" x14ac:dyDescent="0.3">
      <c r="B318" s="22">
        <v>105.536</v>
      </c>
      <c r="C318" s="22"/>
      <c r="D318" s="22"/>
      <c r="E318" s="33">
        <v>44358</v>
      </c>
    </row>
    <row r="319" spans="2:5" x14ac:dyDescent="0.3">
      <c r="B319" s="22">
        <v>105.509</v>
      </c>
      <c r="C319" s="22"/>
      <c r="D319" s="22"/>
      <c r="E319" s="33">
        <v>44361</v>
      </c>
    </row>
    <row r="320" spans="2:5" x14ac:dyDescent="0.3">
      <c r="B320" s="22">
        <v>105.901</v>
      </c>
      <c r="C320" s="22"/>
      <c r="D320" s="22"/>
      <c r="E320" s="33">
        <v>44362</v>
      </c>
    </row>
    <row r="321" spans="2:5" x14ac:dyDescent="0.3">
      <c r="B321" s="22">
        <v>105.39400000000001</v>
      </c>
      <c r="C321" s="22"/>
      <c r="D321" s="22"/>
      <c r="E321" s="33">
        <v>44363</v>
      </c>
    </row>
    <row r="322" spans="2:5" x14ac:dyDescent="0.3">
      <c r="B322" s="22">
        <v>104.467</v>
      </c>
      <c r="C322" s="22"/>
      <c r="D322" s="22"/>
      <c r="E322" s="33">
        <v>44364</v>
      </c>
    </row>
    <row r="323" spans="2:5" x14ac:dyDescent="0.3">
      <c r="B323" s="22">
        <v>103.551</v>
      </c>
      <c r="C323" s="22"/>
      <c r="D323" s="22"/>
      <c r="E323" s="33">
        <v>44365</v>
      </c>
    </row>
    <row r="324" spans="2:5" x14ac:dyDescent="0.3">
      <c r="B324" s="22">
        <v>104.26600000000001</v>
      </c>
      <c r="C324" s="22"/>
      <c r="D324" s="22"/>
      <c r="E324" s="33">
        <v>44368</v>
      </c>
    </row>
    <row r="325" spans="2:5" x14ac:dyDescent="0.3">
      <c r="B325" s="22">
        <v>104.372</v>
      </c>
      <c r="C325" s="22"/>
      <c r="D325" s="22"/>
      <c r="E325" s="33">
        <v>44369</v>
      </c>
    </row>
    <row r="326" spans="2:5" x14ac:dyDescent="0.3">
      <c r="B326" s="22">
        <v>104.11199999999999</v>
      </c>
      <c r="C326" s="22"/>
      <c r="D326" s="22"/>
      <c r="E326" s="33">
        <v>44370</v>
      </c>
    </row>
    <row r="327" spans="2:5" x14ac:dyDescent="0.3">
      <c r="B327" s="22">
        <v>104.569</v>
      </c>
      <c r="C327" s="22"/>
      <c r="D327" s="22"/>
      <c r="E327" s="33">
        <v>44371</v>
      </c>
    </row>
    <row r="328" spans="2:5" x14ac:dyDescent="0.3">
      <c r="B328" s="22">
        <v>105.477</v>
      </c>
      <c r="C328" s="22"/>
      <c r="D328" s="22"/>
      <c r="E328" s="33">
        <v>44372</v>
      </c>
    </row>
    <row r="329" spans="2:5" x14ac:dyDescent="0.3">
      <c r="B329" s="22">
        <v>105.354</v>
      </c>
      <c r="C329" s="22"/>
      <c r="D329" s="22"/>
      <c r="E329" s="33">
        <v>44375</v>
      </c>
    </row>
    <row r="330" spans="2:5" x14ac:dyDescent="0.3">
      <c r="B330" s="22">
        <v>105.003</v>
      </c>
      <c r="C330" s="22"/>
      <c r="D330" s="22"/>
      <c r="E330" s="33">
        <v>44376</v>
      </c>
    </row>
    <row r="331" spans="2:5" x14ac:dyDescent="0.3">
      <c r="B331" s="22">
        <v>104.82</v>
      </c>
      <c r="C331" s="22"/>
      <c r="D331" s="22"/>
      <c r="E331" s="33">
        <v>44377</v>
      </c>
    </row>
    <row r="332" spans="2:5" x14ac:dyDescent="0.3">
      <c r="B332" s="22">
        <v>104.74299999999999</v>
      </c>
      <c r="C332" s="22"/>
      <c r="D332" s="22"/>
      <c r="E332" s="33">
        <v>44378</v>
      </c>
    </row>
    <row r="333" spans="2:5" x14ac:dyDescent="0.3">
      <c r="B333" s="22">
        <v>105.25</v>
      </c>
      <c r="C333" s="22"/>
      <c r="D333" s="22"/>
      <c r="E333" s="33">
        <v>44379</v>
      </c>
    </row>
    <row r="334" spans="2:5" x14ac:dyDescent="0.3">
      <c r="B334" s="22">
        <v>106.22499999999999</v>
      </c>
      <c r="C334" s="22"/>
      <c r="D334" s="22"/>
      <c r="E334" s="33">
        <v>44382</v>
      </c>
    </row>
    <row r="335" spans="2:5" x14ac:dyDescent="0.3">
      <c r="B335" s="22">
        <v>106.256</v>
      </c>
      <c r="C335" s="22"/>
      <c r="D335" s="22"/>
      <c r="E335" s="33">
        <v>44383</v>
      </c>
    </row>
    <row r="336" spans="2:5" x14ac:dyDescent="0.3">
      <c r="B336" s="22">
        <v>106.82899999999999</v>
      </c>
      <c r="C336" s="22"/>
      <c r="D336" s="22"/>
      <c r="E336" s="33">
        <v>44384</v>
      </c>
    </row>
    <row r="337" spans="2:5" x14ac:dyDescent="0.3">
      <c r="B337" s="22">
        <v>106.215</v>
      </c>
      <c r="C337" s="22"/>
      <c r="D337" s="22"/>
      <c r="E337" s="33">
        <v>44385</v>
      </c>
    </row>
    <row r="338" spans="2:5" x14ac:dyDescent="0.3">
      <c r="B338" s="22">
        <v>106.00700000000001</v>
      </c>
      <c r="C338" s="22"/>
      <c r="D338" s="22"/>
      <c r="E338" s="33">
        <v>44386</v>
      </c>
    </row>
    <row r="339" spans="2:5" x14ac:dyDescent="0.3">
      <c r="B339" s="22">
        <v>106.13200000000001</v>
      </c>
      <c r="C339" s="22"/>
      <c r="D339" s="22"/>
      <c r="E339" s="33">
        <v>44389</v>
      </c>
    </row>
    <row r="340" spans="2:5" x14ac:dyDescent="0.3">
      <c r="B340" s="22">
        <v>106.98699999999999</v>
      </c>
      <c r="C340" s="22"/>
      <c r="D340" s="22"/>
      <c r="E340" s="33">
        <v>44390</v>
      </c>
    </row>
    <row r="341" spans="2:5" x14ac:dyDescent="0.3">
      <c r="B341" s="22">
        <v>107.379</v>
      </c>
      <c r="C341" s="22"/>
      <c r="D341" s="22"/>
      <c r="E341" s="33">
        <v>44391</v>
      </c>
    </row>
    <row r="342" spans="2:5" x14ac:dyDescent="0.3">
      <c r="B342" s="22">
        <v>107.75</v>
      </c>
      <c r="C342" s="22"/>
      <c r="D342" s="22"/>
      <c r="E342" s="33">
        <v>44392</v>
      </c>
    </row>
    <row r="343" spans="2:5" x14ac:dyDescent="0.3">
      <c r="B343" s="22">
        <v>108.003</v>
      </c>
      <c r="C343" s="22"/>
      <c r="D343" s="22"/>
      <c r="E343" s="33">
        <v>44393</v>
      </c>
    </row>
    <row r="344" spans="2:5" x14ac:dyDescent="0.3">
      <c r="B344" s="22">
        <v>107.896</v>
      </c>
      <c r="C344" s="22"/>
      <c r="D344" s="22"/>
      <c r="E344" s="33">
        <v>44396</v>
      </c>
    </row>
    <row r="345" spans="2:5" x14ac:dyDescent="0.3">
      <c r="B345" s="22">
        <v>106.994</v>
      </c>
      <c r="C345" s="22"/>
      <c r="D345" s="22"/>
      <c r="E345" s="33">
        <v>44397</v>
      </c>
    </row>
    <row r="346" spans="2:5" x14ac:dyDescent="0.3">
      <c r="B346" s="22">
        <v>108.259</v>
      </c>
      <c r="C346" s="22"/>
      <c r="D346" s="22"/>
      <c r="E346" s="33">
        <v>44399</v>
      </c>
    </row>
    <row r="347" spans="2:5" x14ac:dyDescent="0.3">
      <c r="B347" s="22">
        <v>108.599</v>
      </c>
      <c r="C347" s="22"/>
      <c r="D347" s="22"/>
      <c r="E347" s="33">
        <v>44400</v>
      </c>
    </row>
    <row r="348" spans="2:5" x14ac:dyDescent="0.3">
      <c r="B348" s="22">
        <v>108.455</v>
      </c>
      <c r="C348" s="22"/>
      <c r="D348" s="22"/>
      <c r="E348" s="33">
        <v>44403</v>
      </c>
    </row>
    <row r="349" spans="2:5" x14ac:dyDescent="0.3">
      <c r="B349" s="22">
        <v>108.09</v>
      </c>
      <c r="C349" s="22"/>
      <c r="D349" s="22"/>
      <c r="E349" s="33">
        <v>44404</v>
      </c>
    </row>
    <row r="350" spans="2:5" x14ac:dyDescent="0.3">
      <c r="B350" s="22">
        <v>108.148</v>
      </c>
      <c r="C350" s="22"/>
      <c r="D350" s="22"/>
      <c r="E350" s="33">
        <v>44405</v>
      </c>
    </row>
    <row r="351" spans="2:5" x14ac:dyDescent="0.3">
      <c r="B351" s="22">
        <v>109.274</v>
      </c>
      <c r="C351" s="22"/>
      <c r="D351" s="22"/>
      <c r="E351" s="33">
        <v>44406</v>
      </c>
    </row>
    <row r="352" spans="2:5" x14ac:dyDescent="0.3">
      <c r="B352" s="22">
        <v>109.06100000000001</v>
      </c>
      <c r="C352" s="22"/>
      <c r="D352" s="22"/>
      <c r="E352" s="33">
        <v>44407</v>
      </c>
    </row>
    <row r="353" spans="2:5" x14ac:dyDescent="0.3">
      <c r="B353" s="22">
        <v>109.81</v>
      </c>
      <c r="C353" s="22"/>
      <c r="D353" s="22"/>
      <c r="E353" s="33">
        <v>44410</v>
      </c>
    </row>
    <row r="354" spans="2:5" x14ac:dyDescent="0.3">
      <c r="B354" s="22">
        <v>110.91500000000001</v>
      </c>
      <c r="C354" s="22"/>
      <c r="D354" s="22"/>
      <c r="E354" s="33">
        <v>44411</v>
      </c>
    </row>
    <row r="355" spans="2:5" x14ac:dyDescent="0.3">
      <c r="B355" s="22">
        <v>111.39100000000001</v>
      </c>
      <c r="C355" s="22"/>
      <c r="D355" s="22"/>
      <c r="E355" s="33">
        <v>44412</v>
      </c>
    </row>
    <row r="356" spans="2:5" x14ac:dyDescent="0.3">
      <c r="B356" s="22">
        <v>111.035</v>
      </c>
      <c r="C356" s="22"/>
      <c r="D356" s="22"/>
      <c r="E356" s="33">
        <v>44413</v>
      </c>
    </row>
    <row r="357" spans="2:5" x14ac:dyDescent="0.3">
      <c r="B357" s="22">
        <v>110.413</v>
      </c>
      <c r="C357" s="22"/>
      <c r="D357" s="22"/>
      <c r="E357" s="33">
        <v>44414</v>
      </c>
    </row>
    <row r="358" spans="2:5" x14ac:dyDescent="0.3">
      <c r="B358" s="22">
        <v>109.813</v>
      </c>
      <c r="C358" s="22"/>
      <c r="D358" s="22"/>
      <c r="E358" s="33">
        <v>44417</v>
      </c>
    </row>
    <row r="359" spans="2:5" x14ac:dyDescent="0.3">
      <c r="B359" s="22">
        <v>109.123</v>
      </c>
      <c r="C359" s="22"/>
      <c r="D359" s="22"/>
      <c r="E359" s="33">
        <v>44418</v>
      </c>
    </row>
    <row r="360" spans="2:5" x14ac:dyDescent="0.3">
      <c r="B360" s="22">
        <v>108.971</v>
      </c>
      <c r="C360" s="22"/>
      <c r="D360" s="22"/>
      <c r="E360" s="33">
        <v>44419</v>
      </c>
    </row>
    <row r="361" spans="2:5" x14ac:dyDescent="0.3">
      <c r="B361" s="22">
        <v>109.726</v>
      </c>
      <c r="C361" s="22"/>
      <c r="D361" s="22"/>
      <c r="E361" s="33">
        <v>44420</v>
      </c>
    </row>
    <row r="362" spans="2:5" x14ac:dyDescent="0.3">
      <c r="B362" s="22">
        <v>110.52800000000001</v>
      </c>
      <c r="C362" s="22"/>
      <c r="D362" s="22"/>
      <c r="E362" s="33">
        <v>44421</v>
      </c>
    </row>
    <row r="363" spans="2:5" x14ac:dyDescent="0.3">
      <c r="B363" s="22">
        <v>110.27500000000001</v>
      </c>
      <c r="C363" s="22"/>
      <c r="D363" s="22"/>
      <c r="E363" s="33">
        <v>44424</v>
      </c>
    </row>
    <row r="364" spans="2:5" x14ac:dyDescent="0.3">
      <c r="B364" s="22">
        <v>109.955</v>
      </c>
      <c r="C364" s="22"/>
      <c r="D364" s="22"/>
      <c r="E364" s="33">
        <v>44425</v>
      </c>
    </row>
    <row r="365" spans="2:5" x14ac:dyDescent="0.3">
      <c r="B365" s="22">
        <v>109.60599999999999</v>
      </c>
      <c r="C365" s="22"/>
      <c r="D365" s="22"/>
      <c r="E365" s="33">
        <v>44426</v>
      </c>
    </row>
    <row r="366" spans="2:5" x14ac:dyDescent="0.3">
      <c r="B366" s="22">
        <v>107.80800000000001</v>
      </c>
      <c r="C366" s="22"/>
      <c r="D366" s="22"/>
      <c r="E366" s="33">
        <v>44428</v>
      </c>
    </row>
    <row r="367" spans="2:5" x14ac:dyDescent="0.3">
      <c r="B367" s="22">
        <v>107.593</v>
      </c>
      <c r="C367" s="22"/>
      <c r="D367" s="22"/>
      <c r="E367" s="33">
        <v>44431</v>
      </c>
    </row>
    <row r="368" spans="2:5" x14ac:dyDescent="0.3">
      <c r="B368" s="22">
        <v>108.86199999999999</v>
      </c>
      <c r="C368" s="22"/>
      <c r="D368" s="22"/>
      <c r="E368" s="33">
        <v>44432</v>
      </c>
    </row>
    <row r="369" spans="2:5" x14ac:dyDescent="0.3">
      <c r="B369" s="22">
        <v>109.309</v>
      </c>
      <c r="C369" s="22"/>
      <c r="D369" s="22"/>
      <c r="E369" s="33">
        <v>44433</v>
      </c>
    </row>
    <row r="370" spans="2:5" x14ac:dyDescent="0.3">
      <c r="B370" s="22">
        <v>109.267</v>
      </c>
      <c r="C370" s="22"/>
      <c r="D370" s="22"/>
      <c r="E370" s="33">
        <v>44434</v>
      </c>
    </row>
    <row r="371" spans="2:5" x14ac:dyDescent="0.3">
      <c r="B371" s="22">
        <v>109.901</v>
      </c>
      <c r="C371" s="22"/>
      <c r="D371" s="22"/>
      <c r="E371" s="33">
        <v>44435</v>
      </c>
    </row>
    <row r="372" spans="2:5" x14ac:dyDescent="0.3">
      <c r="B372" s="22">
        <v>111.414</v>
      </c>
      <c r="C372" s="22"/>
      <c r="D372" s="22"/>
      <c r="E372" s="33">
        <v>44438</v>
      </c>
    </row>
    <row r="373" spans="2:5" x14ac:dyDescent="0.3">
      <c r="B373" s="22">
        <v>112.212</v>
      </c>
      <c r="C373" s="22"/>
      <c r="D373" s="22"/>
      <c r="E373" s="33">
        <v>44439</v>
      </c>
    </row>
    <row r="374" spans="2:5" x14ac:dyDescent="0.3">
      <c r="B374" s="22">
        <v>112.158</v>
      </c>
      <c r="C374" s="22"/>
      <c r="D374" s="22"/>
      <c r="E374" s="33">
        <v>44440</v>
      </c>
    </row>
    <row r="375" spans="2:5" x14ac:dyDescent="0.3">
      <c r="B375" s="22">
        <v>112.75</v>
      </c>
      <c r="C375" s="22"/>
      <c r="D375" s="22"/>
      <c r="E375" s="33">
        <v>44441</v>
      </c>
    </row>
    <row r="376" spans="2:5" x14ac:dyDescent="0.3">
      <c r="B376" s="22">
        <v>113.52</v>
      </c>
      <c r="C376" s="22"/>
      <c r="D376" s="22"/>
      <c r="E376" s="33">
        <v>44442</v>
      </c>
    </row>
    <row r="377" spans="2:5" x14ac:dyDescent="0.3">
      <c r="B377" s="22">
        <v>113.545</v>
      </c>
      <c r="C377" s="22"/>
      <c r="D377" s="22"/>
      <c r="E377" s="33">
        <v>44445</v>
      </c>
    </row>
    <row r="378" spans="2:5" x14ac:dyDescent="0.3">
      <c r="B378" s="22">
        <v>113.30800000000001</v>
      </c>
      <c r="C378" s="22"/>
      <c r="D378" s="22"/>
      <c r="E378" s="33">
        <v>44446</v>
      </c>
    </row>
    <row r="379" spans="2:5" x14ac:dyDescent="0.3">
      <c r="B379" s="22">
        <v>113.435</v>
      </c>
      <c r="C379" s="22"/>
      <c r="D379" s="22"/>
      <c r="E379" s="33">
        <v>44447</v>
      </c>
    </row>
    <row r="380" spans="2:5" x14ac:dyDescent="0.3">
      <c r="B380" s="22">
        <v>113.59099999999999</v>
      </c>
      <c r="C380" s="22"/>
      <c r="D380" s="22"/>
      <c r="E380" s="33">
        <v>44448</v>
      </c>
    </row>
    <row r="381" spans="2:5" x14ac:dyDescent="0.3">
      <c r="B381" s="22">
        <v>113.501</v>
      </c>
      <c r="C381" s="22"/>
      <c r="D381" s="22"/>
      <c r="E381" s="33">
        <v>44452</v>
      </c>
    </row>
    <row r="382" spans="2:5" x14ac:dyDescent="0.3">
      <c r="B382" s="22">
        <v>113.89400000000001</v>
      </c>
      <c r="C382" s="22"/>
      <c r="D382" s="22"/>
      <c r="E382" s="33">
        <v>44453</v>
      </c>
    </row>
    <row r="383" spans="2:5" x14ac:dyDescent="0.3">
      <c r="B383" s="22">
        <v>115.31399999999999</v>
      </c>
      <c r="C383" s="22"/>
      <c r="D383" s="22"/>
      <c r="E383" s="33">
        <v>44454</v>
      </c>
    </row>
    <row r="384" spans="2:5" x14ac:dyDescent="0.3">
      <c r="B384" s="22">
        <v>116.28700000000001</v>
      </c>
      <c r="C384" s="22"/>
      <c r="D384" s="22"/>
      <c r="E384" s="33">
        <v>44455</v>
      </c>
    </row>
    <row r="385" spans="2:5" x14ac:dyDescent="0.3">
      <c r="B385" s="22">
        <v>115.646</v>
      </c>
      <c r="C385" s="22"/>
      <c r="D385" s="22"/>
      <c r="E385" s="33">
        <v>44456</v>
      </c>
    </row>
    <row r="386" spans="2:5" x14ac:dyDescent="0.3">
      <c r="B386" s="22">
        <v>113.93300000000001</v>
      </c>
      <c r="C386" s="22"/>
      <c r="D386" s="22"/>
      <c r="E386" s="33">
        <v>44459</v>
      </c>
    </row>
    <row r="387" spans="2:5" x14ac:dyDescent="0.3">
      <c r="B387" s="22">
        <v>114.465</v>
      </c>
      <c r="C387" s="22"/>
      <c r="D387" s="22"/>
      <c r="E387" s="33">
        <v>44460</v>
      </c>
    </row>
    <row r="388" spans="2:5" x14ac:dyDescent="0.3">
      <c r="B388" s="22">
        <v>114.65900000000001</v>
      </c>
      <c r="C388" s="22"/>
      <c r="D388" s="22"/>
      <c r="E388" s="33">
        <v>44461</v>
      </c>
    </row>
    <row r="389" spans="2:5" x14ac:dyDescent="0.3">
      <c r="B389" s="22">
        <v>116.089</v>
      </c>
      <c r="C389" s="22"/>
      <c r="D389" s="22"/>
      <c r="E389" s="33">
        <v>44462</v>
      </c>
    </row>
    <row r="390" spans="2:5" x14ac:dyDescent="0.3">
      <c r="B390" s="22">
        <v>115.49299999999999</v>
      </c>
      <c r="C390" s="22"/>
      <c r="D390" s="22"/>
      <c r="E390" s="33">
        <v>44463</v>
      </c>
    </row>
    <row r="391" spans="2:5" x14ac:dyDescent="0.3">
      <c r="B391" s="22">
        <v>115.998</v>
      </c>
      <c r="C391" s="22"/>
      <c r="D391" s="22"/>
      <c r="E391" s="33">
        <v>44466</v>
      </c>
    </row>
    <row r="392" spans="2:5" x14ac:dyDescent="0.3">
      <c r="B392" s="22">
        <v>116.057</v>
      </c>
      <c r="C392" s="22"/>
      <c r="D392" s="22"/>
      <c r="E392" s="33">
        <v>44467</v>
      </c>
    </row>
    <row r="393" spans="2:5" x14ac:dyDescent="0.3">
      <c r="B393" s="22">
        <v>116.39700000000001</v>
      </c>
      <c r="C393" s="22"/>
      <c r="D393" s="22"/>
      <c r="E393" s="33">
        <v>44468</v>
      </c>
    </row>
    <row r="394" spans="2:5" x14ac:dyDescent="0.3">
      <c r="B394" s="22">
        <v>115.798</v>
      </c>
      <c r="C394" s="22"/>
      <c r="D394" s="22"/>
      <c r="E394" s="33">
        <v>44469</v>
      </c>
    </row>
    <row r="395" spans="2:5" x14ac:dyDescent="0.3">
      <c r="B395" s="22">
        <v>117.749</v>
      </c>
      <c r="C395" s="22"/>
      <c r="D395" s="22"/>
      <c r="E395" s="33">
        <v>44470</v>
      </c>
    </row>
    <row r="396" spans="2:5" x14ac:dyDescent="0.3">
      <c r="B396" s="22">
        <v>119.152</v>
      </c>
      <c r="C396" s="22"/>
      <c r="D396" s="22"/>
      <c r="E396" s="33">
        <v>44473</v>
      </c>
    </row>
    <row r="397" spans="2:5" x14ac:dyDescent="0.3">
      <c r="B397" s="22">
        <v>120.095</v>
      </c>
      <c r="C397" s="22"/>
      <c r="D397" s="22"/>
      <c r="E397" s="33">
        <v>44474</v>
      </c>
    </row>
    <row r="398" spans="2:5" x14ac:dyDescent="0.3">
      <c r="B398" s="22">
        <v>119.23399999999999</v>
      </c>
      <c r="C398" s="22"/>
      <c r="D398" s="22"/>
      <c r="E398" s="33">
        <v>44475</v>
      </c>
    </row>
    <row r="399" spans="2:5" x14ac:dyDescent="0.3">
      <c r="B399" s="22">
        <v>120.419</v>
      </c>
      <c r="C399" s="22"/>
      <c r="D399" s="22"/>
      <c r="E399" s="33">
        <v>44476</v>
      </c>
    </row>
    <row r="400" spans="2:5" x14ac:dyDescent="0.3">
      <c r="B400" s="22">
        <v>121.372</v>
      </c>
      <c r="C400" s="22"/>
      <c r="D400" s="22"/>
      <c r="E400" s="33">
        <v>44477</v>
      </c>
    </row>
    <row r="401" spans="2:5" x14ac:dyDescent="0.3">
      <c r="B401" s="22">
        <v>122.89100000000001</v>
      </c>
      <c r="C401" s="22"/>
      <c r="D401" s="22"/>
      <c r="E401" s="33">
        <v>44480</v>
      </c>
    </row>
    <row r="402" spans="2:5" x14ac:dyDescent="0.3">
      <c r="B402" s="22">
        <v>123.145</v>
      </c>
      <c r="C402" s="22"/>
      <c r="D402" s="22"/>
      <c r="E402" s="33">
        <v>44481</v>
      </c>
    </row>
    <row r="403" spans="2:5" x14ac:dyDescent="0.3">
      <c r="B403" s="22">
        <v>123.746</v>
      </c>
      <c r="C403" s="22"/>
      <c r="D403" s="22"/>
      <c r="E403" s="33">
        <v>44482</v>
      </c>
    </row>
    <row r="404" spans="2:5" x14ac:dyDescent="0.3">
      <c r="B404" s="22">
        <v>125.39700000000001</v>
      </c>
      <c r="C404" s="22"/>
      <c r="D404" s="22"/>
      <c r="E404" s="33">
        <v>44483</v>
      </c>
    </row>
    <row r="405" spans="2:5" x14ac:dyDescent="0.3">
      <c r="B405" s="22">
        <v>127.184</v>
      </c>
      <c r="C405" s="22"/>
      <c r="D405" s="22"/>
      <c r="E405" s="33">
        <v>44487</v>
      </c>
    </row>
    <row r="406" spans="2:5" x14ac:dyDescent="0.3">
      <c r="B406" s="22">
        <v>127.157</v>
      </c>
      <c r="C406" s="22"/>
      <c r="D406" s="22"/>
      <c r="E406" s="33">
        <v>44488</v>
      </c>
    </row>
    <row r="407" spans="2:5" x14ac:dyDescent="0.3">
      <c r="B407" s="22">
        <v>126.94799999999999</v>
      </c>
      <c r="C407" s="22"/>
      <c r="D407" s="22"/>
      <c r="E407" s="33">
        <v>44489</v>
      </c>
    </row>
    <row r="408" spans="2:5" x14ac:dyDescent="0.3">
      <c r="B408" s="22">
        <v>127.28400000000001</v>
      </c>
      <c r="C408" s="22"/>
      <c r="D408" s="22"/>
      <c r="E408" s="33">
        <v>44490</v>
      </c>
    </row>
    <row r="409" spans="2:5" x14ac:dyDescent="0.3">
      <c r="B409" s="22">
        <v>127.67100000000001</v>
      </c>
      <c r="C409" s="22"/>
      <c r="D409" s="22"/>
      <c r="E409" s="33">
        <v>44491</v>
      </c>
    </row>
    <row r="410" spans="2:5" x14ac:dyDescent="0.3">
      <c r="B410" s="22">
        <v>127.81100000000001</v>
      </c>
      <c r="C410" s="22"/>
      <c r="D410" s="22"/>
      <c r="E410" s="33">
        <v>44494</v>
      </c>
    </row>
    <row r="411" spans="2:5" x14ac:dyDescent="0.3">
      <c r="B411" s="22">
        <v>128.458</v>
      </c>
      <c r="C411" s="22"/>
      <c r="D411" s="22"/>
      <c r="E411" s="33">
        <v>44495</v>
      </c>
    </row>
    <row r="412" spans="2:5" x14ac:dyDescent="0.3">
      <c r="B412" s="22">
        <v>128.018</v>
      </c>
      <c r="C412" s="22"/>
      <c r="D412" s="22"/>
      <c r="E412" s="33">
        <v>44496</v>
      </c>
    </row>
    <row r="413" spans="2:5" x14ac:dyDescent="0.3">
      <c r="B413" s="22">
        <v>125.102</v>
      </c>
      <c r="C413" s="22"/>
      <c r="D413" s="22"/>
      <c r="E413" s="33">
        <v>44497</v>
      </c>
    </row>
    <row r="414" spans="2:5" x14ac:dyDescent="0.3">
      <c r="B414" s="22">
        <v>124.11199999999999</v>
      </c>
      <c r="C414" s="22"/>
      <c r="D414" s="22"/>
      <c r="E414" s="33">
        <v>44498</v>
      </c>
    </row>
    <row r="415" spans="2:5" x14ac:dyDescent="0.3">
      <c r="B415" s="22">
        <v>125.066</v>
      </c>
      <c r="C415" s="22"/>
      <c r="D415" s="22"/>
      <c r="E415" s="33">
        <v>44501</v>
      </c>
    </row>
    <row r="416" spans="2:5" x14ac:dyDescent="0.3">
      <c r="B416" s="22">
        <v>124.884</v>
      </c>
      <c r="C416" s="22"/>
      <c r="D416" s="22"/>
      <c r="E416" s="33">
        <v>44502</v>
      </c>
    </row>
    <row r="417" spans="2:5" x14ac:dyDescent="0.3">
      <c r="B417" s="22">
        <v>125.004</v>
      </c>
      <c r="C417" s="22"/>
      <c r="D417" s="22"/>
      <c r="E417" s="33">
        <v>44503</v>
      </c>
    </row>
    <row r="418" spans="2:5" x14ac:dyDescent="0.3">
      <c r="B418" s="22">
        <v>126.70099999999999</v>
      </c>
      <c r="C418" s="22"/>
      <c r="D418" s="22"/>
      <c r="E418" s="33">
        <v>44508</v>
      </c>
    </row>
    <row r="419" spans="2:5" x14ac:dyDescent="0.3">
      <c r="B419" s="22">
        <v>127.102</v>
      </c>
      <c r="C419" s="22"/>
      <c r="D419" s="22"/>
      <c r="E419" s="33">
        <v>44509</v>
      </c>
    </row>
    <row r="420" spans="2:5" x14ac:dyDescent="0.3">
      <c r="B420" s="22">
        <v>126.977</v>
      </c>
      <c r="C420" s="22"/>
      <c r="D420" s="22"/>
      <c r="E420" s="33">
        <v>44510</v>
      </c>
    </row>
    <row r="421" spans="2:5" x14ac:dyDescent="0.3">
      <c r="B421" s="22">
        <v>126.31699999999999</v>
      </c>
      <c r="C421" s="22"/>
      <c r="D421" s="22"/>
      <c r="E421" s="33">
        <v>44511</v>
      </c>
    </row>
    <row r="422" spans="2:5" x14ac:dyDescent="0.3">
      <c r="B422" s="22">
        <v>127.23399999999999</v>
      </c>
      <c r="C422" s="22"/>
      <c r="D422" s="22"/>
      <c r="E422" s="33">
        <v>44512</v>
      </c>
    </row>
    <row r="423" spans="2:5" x14ac:dyDescent="0.3">
      <c r="B423" s="22">
        <v>126.982</v>
      </c>
      <c r="C423" s="22"/>
      <c r="D423" s="22"/>
      <c r="E423" s="33">
        <v>44515</v>
      </c>
    </row>
    <row r="424" spans="2:5" x14ac:dyDescent="0.3">
      <c r="B424" s="22">
        <v>125.755</v>
      </c>
      <c r="C424" s="22"/>
      <c r="D424" s="22"/>
      <c r="E424" s="33">
        <v>44516</v>
      </c>
    </row>
    <row r="425" spans="2:5" x14ac:dyDescent="0.3">
      <c r="B425" s="22">
        <v>124.992</v>
      </c>
      <c r="C425" s="22"/>
      <c r="D425" s="22"/>
      <c r="E425" s="33">
        <v>44517</v>
      </c>
    </row>
    <row r="426" spans="2:5" x14ac:dyDescent="0.3">
      <c r="B426" s="22">
        <v>124.07</v>
      </c>
      <c r="C426" s="22"/>
      <c r="D426" s="22"/>
      <c r="E426" s="33">
        <v>44518</v>
      </c>
    </row>
    <row r="427" spans="2:5" x14ac:dyDescent="0.3">
      <c r="B427" s="22">
        <v>121.66800000000001</v>
      </c>
      <c r="C427" s="22"/>
      <c r="D427" s="22"/>
      <c r="E427" s="33">
        <v>44522</v>
      </c>
    </row>
    <row r="428" spans="2:5" x14ac:dyDescent="0.3">
      <c r="B428" s="22">
        <v>122.788</v>
      </c>
      <c r="C428" s="22"/>
      <c r="D428" s="22"/>
      <c r="E428" s="33">
        <v>44523</v>
      </c>
    </row>
    <row r="429" spans="2:5" x14ac:dyDescent="0.3">
      <c r="B429" s="22">
        <v>123.07899999999999</v>
      </c>
      <c r="C429" s="22"/>
      <c r="D429" s="22"/>
      <c r="E429" s="33">
        <v>44524</v>
      </c>
    </row>
    <row r="430" spans="2:5" x14ac:dyDescent="0.3">
      <c r="B430" s="22">
        <v>123.77</v>
      </c>
      <c r="C430" s="22"/>
      <c r="D430" s="22"/>
      <c r="E430" s="33">
        <v>44525</v>
      </c>
    </row>
    <row r="431" spans="2:5" x14ac:dyDescent="0.3">
      <c r="B431" s="22">
        <v>119.976</v>
      </c>
      <c r="C431" s="22"/>
      <c r="D431" s="22"/>
      <c r="E431" s="33">
        <v>44526</v>
      </c>
    </row>
    <row r="432" spans="2:5" x14ac:dyDescent="0.3">
      <c r="B432" s="22">
        <v>118.738</v>
      </c>
      <c r="C432" s="22"/>
      <c r="D432" s="22"/>
      <c r="E432" s="33">
        <v>44529</v>
      </c>
    </row>
    <row r="433" spans="2:5" x14ac:dyDescent="0.3">
      <c r="B433" s="22">
        <v>118.589</v>
      </c>
      <c r="C433" s="22"/>
      <c r="D433" s="22"/>
      <c r="E433" s="33">
        <v>44530</v>
      </c>
    </row>
    <row r="434" spans="2:5" x14ac:dyDescent="0.3">
      <c r="B434" s="22">
        <v>120.059</v>
      </c>
      <c r="C434" s="22"/>
      <c r="D434" s="22"/>
      <c r="E434" s="33">
        <v>44531</v>
      </c>
    </row>
    <row r="435" spans="2:5" x14ac:dyDescent="0.3">
      <c r="B435" s="22">
        <v>121.126</v>
      </c>
      <c r="C435" s="22"/>
      <c r="D435" s="22"/>
      <c r="E435" s="33">
        <v>44532</v>
      </c>
    </row>
    <row r="436" spans="2:5" x14ac:dyDescent="0.3">
      <c r="B436" s="22">
        <v>120.651</v>
      </c>
      <c r="C436" s="22"/>
      <c r="D436" s="22"/>
      <c r="E436" s="33">
        <v>44533</v>
      </c>
    </row>
    <row r="437" spans="2:5" x14ac:dyDescent="0.3">
      <c r="B437" s="22">
        <v>118.997</v>
      </c>
      <c r="C437" s="22"/>
      <c r="D437" s="22"/>
      <c r="E437" s="33">
        <v>44536</v>
      </c>
    </row>
    <row r="438" spans="2:5" x14ac:dyDescent="0.3">
      <c r="B438" s="22">
        <v>120.77200000000001</v>
      </c>
      <c r="C438" s="22"/>
      <c r="D438" s="22"/>
      <c r="E438" s="33">
        <v>44537</v>
      </c>
    </row>
    <row r="439" spans="2:5" x14ac:dyDescent="0.3">
      <c r="B439" s="22">
        <v>122.605</v>
      </c>
      <c r="C439" s="22"/>
      <c r="D439" s="22"/>
      <c r="E439" s="33">
        <v>44538</v>
      </c>
    </row>
    <row r="440" spans="2:5" x14ac:dyDescent="0.3">
      <c r="B440" s="22">
        <v>122.90600000000001</v>
      </c>
      <c r="C440" s="22"/>
      <c r="D440" s="22"/>
      <c r="E440" s="33">
        <v>44539</v>
      </c>
    </row>
    <row r="441" spans="2:5" x14ac:dyDescent="0.3">
      <c r="B441" s="22">
        <v>122.854</v>
      </c>
      <c r="C441" s="22"/>
      <c r="D441" s="22"/>
      <c r="E441" s="33">
        <v>44540</v>
      </c>
    </row>
    <row r="442" spans="2:5" x14ac:dyDescent="0.3">
      <c r="B442" s="22">
        <v>122.161</v>
      </c>
      <c r="C442" s="22"/>
      <c r="D442" s="22"/>
      <c r="E442" s="33">
        <v>44543</v>
      </c>
    </row>
    <row r="443" spans="2:5" x14ac:dyDescent="0.3">
      <c r="B443" s="22">
        <v>122.232</v>
      </c>
      <c r="C443" s="22"/>
      <c r="D443" s="22"/>
      <c r="E443" s="33">
        <v>44544</v>
      </c>
    </row>
    <row r="444" spans="2:5" x14ac:dyDescent="0.3">
      <c r="B444" s="22">
        <v>121.538</v>
      </c>
      <c r="C444" s="22"/>
      <c r="D444" s="22"/>
      <c r="E444" s="33">
        <v>44545</v>
      </c>
    </row>
    <row r="445" spans="2:5" x14ac:dyDescent="0.3">
      <c r="B445" s="22">
        <v>121.19</v>
      </c>
      <c r="C445" s="22"/>
      <c r="D445" s="22"/>
      <c r="E445" s="33">
        <v>44546</v>
      </c>
    </row>
    <row r="446" spans="2:5" x14ac:dyDescent="0.3">
      <c r="B446" s="22">
        <v>119.31</v>
      </c>
      <c r="C446" s="22"/>
      <c r="D446" s="22"/>
      <c r="E446" s="33">
        <v>44547</v>
      </c>
    </row>
    <row r="447" spans="2:5" x14ac:dyDescent="0.3">
      <c r="B447" s="22">
        <v>116.17400000000001</v>
      </c>
      <c r="C447" s="22"/>
      <c r="D447" s="22"/>
      <c r="E447" s="33">
        <v>44550</v>
      </c>
    </row>
    <row r="448" spans="2:5" x14ac:dyDescent="0.3">
      <c r="B448" s="22">
        <v>118.011</v>
      </c>
      <c r="C448" s="22"/>
      <c r="D448" s="22"/>
      <c r="E448" s="33">
        <v>44551</v>
      </c>
    </row>
    <row r="449" spans="2:5" x14ac:dyDescent="0.3">
      <c r="B449" s="22">
        <v>119.982</v>
      </c>
      <c r="C449" s="22"/>
      <c r="D449" s="22"/>
      <c r="E449" s="33">
        <v>44552</v>
      </c>
    </row>
    <row r="450" spans="2:5" x14ac:dyDescent="0.3">
      <c r="B450" s="22">
        <v>120.813</v>
      </c>
      <c r="C450" s="22"/>
      <c r="D450" s="22"/>
      <c r="E450" s="33">
        <v>44553</v>
      </c>
    </row>
    <row r="451" spans="2:5" x14ac:dyDescent="0.3">
      <c r="B451" s="22">
        <v>119.828</v>
      </c>
      <c r="C451" s="22"/>
      <c r="D451" s="22"/>
      <c r="E451" s="33">
        <v>44554</v>
      </c>
    </row>
    <row r="452" spans="2:5" x14ac:dyDescent="0.3">
      <c r="B452" s="22">
        <v>120.459</v>
      </c>
      <c r="C452" s="22"/>
      <c r="D452" s="22"/>
      <c r="E452" s="33">
        <v>44557</v>
      </c>
    </row>
    <row r="453" spans="2:5" x14ac:dyDescent="0.3">
      <c r="B453" s="22">
        <v>121.93899999999999</v>
      </c>
      <c r="C453" s="22"/>
      <c r="D453" s="22"/>
      <c r="E453" s="33">
        <v>44558</v>
      </c>
    </row>
    <row r="454" spans="2:5" x14ac:dyDescent="0.3">
      <c r="B454" s="22">
        <v>121.855</v>
      </c>
      <c r="C454" s="22"/>
      <c r="D454" s="22"/>
      <c r="E454" s="33">
        <v>44559</v>
      </c>
    </row>
    <row r="455" spans="2:5" x14ac:dyDescent="0.3">
      <c r="B455" s="22">
        <v>121.744</v>
      </c>
      <c r="C455" s="22"/>
      <c r="D455" s="22"/>
      <c r="E455" s="33">
        <v>44560</v>
      </c>
    </row>
    <row r="456" spans="2:5" x14ac:dyDescent="0.3">
      <c r="B456" s="22">
        <v>122.84699999999999</v>
      </c>
      <c r="C456" s="22"/>
      <c r="D456" s="22"/>
      <c r="E456" s="33">
        <v>44561</v>
      </c>
    </row>
    <row r="457" spans="2:5" x14ac:dyDescent="0.3">
      <c r="B457" s="22">
        <v>124.672</v>
      </c>
      <c r="C457" s="22"/>
      <c r="D457" s="22"/>
      <c r="E457" s="33">
        <v>44564</v>
      </c>
    </row>
    <row r="458" spans="2:5" x14ac:dyDescent="0.3">
      <c r="B458" s="22">
        <v>125.69</v>
      </c>
      <c r="C458" s="22"/>
      <c r="D458" s="22"/>
      <c r="E458" s="33">
        <v>44565</v>
      </c>
    </row>
    <row r="459" spans="2:5" x14ac:dyDescent="0.3">
      <c r="B459" s="22">
        <v>126.38</v>
      </c>
      <c r="C459" s="22"/>
      <c r="D459" s="22"/>
      <c r="E459" s="33">
        <v>44566</v>
      </c>
    </row>
    <row r="460" spans="2:5" x14ac:dyDescent="0.3">
      <c r="B460" s="22">
        <v>125.556</v>
      </c>
      <c r="C460" s="22"/>
      <c r="D460" s="22"/>
      <c r="E460" s="33">
        <v>44567</v>
      </c>
    </row>
    <row r="461" spans="2:5" x14ac:dyDescent="0.3">
      <c r="B461" s="22">
        <v>125.911</v>
      </c>
      <c r="C461" s="22"/>
      <c r="D461" s="22"/>
      <c r="E461" s="33">
        <v>44568</v>
      </c>
    </row>
    <row r="462" spans="2:5" x14ac:dyDescent="0.3">
      <c r="B462" s="22">
        <v>127.10599999999999</v>
      </c>
      <c r="C462" s="22"/>
      <c r="D462" s="22"/>
      <c r="E462" s="33">
        <v>44571</v>
      </c>
    </row>
    <row r="463" spans="2:5" x14ac:dyDescent="0.3">
      <c r="B463" s="22">
        <v>127.02200000000001</v>
      </c>
      <c r="C463" s="22"/>
      <c r="D463" s="22"/>
      <c r="E463" s="33">
        <v>44572</v>
      </c>
    </row>
    <row r="464" spans="2:5" x14ac:dyDescent="0.3">
      <c r="B464" s="22">
        <v>128.03899999999999</v>
      </c>
      <c r="C464" s="22"/>
      <c r="D464" s="22"/>
      <c r="E464" s="33">
        <v>44573</v>
      </c>
    </row>
    <row r="465" spans="2:5" x14ac:dyDescent="0.3">
      <c r="B465" s="22">
        <v>128.37899999999999</v>
      </c>
      <c r="C465" s="22"/>
      <c r="D465" s="22"/>
      <c r="E465" s="33">
        <v>44574</v>
      </c>
    </row>
    <row r="466" spans="2:5" x14ac:dyDescent="0.3">
      <c r="B466" s="22">
        <v>128.81200000000001</v>
      </c>
      <c r="C466" s="22"/>
      <c r="D466" s="22"/>
      <c r="E466" s="33">
        <v>44575</v>
      </c>
    </row>
    <row r="467" spans="2:5" x14ac:dyDescent="0.3">
      <c r="B467" s="22">
        <v>129.17400000000001</v>
      </c>
      <c r="C467" s="22"/>
      <c r="D467" s="22"/>
      <c r="E467" s="33">
        <v>44578</v>
      </c>
    </row>
    <row r="468" spans="2:5" x14ac:dyDescent="0.3">
      <c r="B468" s="22">
        <v>127.646</v>
      </c>
      <c r="C468" s="22"/>
      <c r="D468" s="22"/>
      <c r="E468" s="33">
        <v>44579</v>
      </c>
    </row>
    <row r="469" spans="2:5" x14ac:dyDescent="0.3">
      <c r="B469" s="22">
        <v>127.245</v>
      </c>
      <c r="C469" s="22"/>
      <c r="D469" s="22"/>
      <c r="E469" s="33">
        <v>44580</v>
      </c>
    </row>
    <row r="470" spans="2:5" x14ac:dyDescent="0.3">
      <c r="B470" s="22">
        <v>126.786</v>
      </c>
      <c r="C470" s="22"/>
      <c r="D470" s="22"/>
      <c r="E470" s="33">
        <v>44581</v>
      </c>
    </row>
    <row r="471" spans="2:5" x14ac:dyDescent="0.3">
      <c r="B471" s="22">
        <v>124.95399999999999</v>
      </c>
      <c r="C471" s="22"/>
      <c r="D471" s="22"/>
      <c r="E471" s="33">
        <v>44582</v>
      </c>
    </row>
    <row r="472" spans="2:5" x14ac:dyDescent="0.3">
      <c r="B472" s="22">
        <v>122.524</v>
      </c>
      <c r="C472" s="22"/>
      <c r="D472" s="22"/>
      <c r="E472" s="33">
        <v>44585</v>
      </c>
    </row>
    <row r="473" spans="2:5" x14ac:dyDescent="0.3">
      <c r="B473" s="22">
        <v>124.581</v>
      </c>
      <c r="C473" s="22"/>
      <c r="D473" s="22"/>
      <c r="E473" s="33">
        <v>44586</v>
      </c>
    </row>
    <row r="474" spans="2:5" x14ac:dyDescent="0.3">
      <c r="B474" s="22">
        <v>124.218</v>
      </c>
      <c r="C474" s="22"/>
      <c r="D474" s="22"/>
      <c r="E474" s="33">
        <v>44588</v>
      </c>
    </row>
    <row r="475" spans="2:5" x14ac:dyDescent="0.3">
      <c r="B475" s="22">
        <v>124.358</v>
      </c>
      <c r="C475" s="22"/>
      <c r="D475" s="22"/>
      <c r="E475" s="33">
        <v>44589</v>
      </c>
    </row>
    <row r="476" spans="2:5" x14ac:dyDescent="0.3">
      <c r="B476" s="22">
        <v>126.401</v>
      </c>
      <c r="C476" s="22"/>
      <c r="D476" s="22"/>
      <c r="E476" s="33">
        <v>44592</v>
      </c>
    </row>
    <row r="477" spans="2:5" x14ac:dyDescent="0.3">
      <c r="B477" s="22">
        <v>127.249</v>
      </c>
      <c r="C477" s="22"/>
      <c r="D477" s="22"/>
      <c r="E477" s="33">
        <v>44593</v>
      </c>
    </row>
    <row r="478" spans="2:5" x14ac:dyDescent="0.3">
      <c r="B478" s="22">
        <v>128.078</v>
      </c>
      <c r="C478" s="22"/>
      <c r="D478" s="22"/>
      <c r="E478" s="33">
        <v>44594</v>
      </c>
    </row>
    <row r="479" spans="2:5" x14ac:dyDescent="0.3">
      <c r="B479" s="22">
        <v>127.30200000000001</v>
      </c>
      <c r="C479" s="22"/>
      <c r="D479" s="22"/>
      <c r="E479" s="33">
        <v>44595</v>
      </c>
    </row>
    <row r="480" spans="2:5" x14ac:dyDescent="0.3">
      <c r="B480" s="22">
        <v>126.532</v>
      </c>
      <c r="C480" s="22"/>
      <c r="D480" s="22"/>
      <c r="E480" s="33">
        <v>44596</v>
      </c>
    </row>
    <row r="481" spans="2:5" x14ac:dyDescent="0.3">
      <c r="B481" s="22">
        <v>124.92100000000001</v>
      </c>
      <c r="C481" s="22"/>
      <c r="D481" s="22"/>
      <c r="E481" s="33">
        <v>44599</v>
      </c>
    </row>
    <row r="482" spans="2:5" x14ac:dyDescent="0.3">
      <c r="B482" s="22">
        <v>124.753</v>
      </c>
      <c r="C482" s="22"/>
      <c r="D482" s="22"/>
      <c r="E482" s="33">
        <v>44600</v>
      </c>
    </row>
    <row r="483" spans="2:5" x14ac:dyDescent="0.3">
      <c r="B483" s="22">
        <v>125.93899999999999</v>
      </c>
      <c r="C483" s="22"/>
      <c r="D483" s="22"/>
      <c r="E483" s="33">
        <v>44601</v>
      </c>
    </row>
    <row r="484" spans="2:5" x14ac:dyDescent="0.3">
      <c r="B484" s="22">
        <v>126.518</v>
      </c>
      <c r="C484" s="22"/>
      <c r="D484" s="22"/>
      <c r="E484" s="33">
        <v>44602</v>
      </c>
    </row>
    <row r="485" spans="2:5" x14ac:dyDescent="0.3">
      <c r="B485" s="22">
        <v>125.042</v>
      </c>
      <c r="C485" s="22"/>
      <c r="D485" s="22"/>
      <c r="E485" s="33">
        <v>44603</v>
      </c>
    </row>
    <row r="486" spans="2:5" x14ac:dyDescent="0.3">
      <c r="B486" s="22">
        <v>121.164</v>
      </c>
      <c r="C486" s="22"/>
      <c r="D486" s="22"/>
      <c r="E486" s="33">
        <v>44606</v>
      </c>
    </row>
    <row r="487" spans="2:5" x14ac:dyDescent="0.3">
      <c r="B487" s="22">
        <v>123.976</v>
      </c>
      <c r="C487" s="22"/>
      <c r="D487" s="22"/>
      <c r="E487" s="33">
        <v>44607</v>
      </c>
    </row>
    <row r="488" spans="2:5" x14ac:dyDescent="0.3">
      <c r="B488" s="22">
        <v>123.861</v>
      </c>
      <c r="C488" s="22"/>
      <c r="D488" s="22"/>
      <c r="E488" s="33">
        <v>44608</v>
      </c>
    </row>
    <row r="489" spans="2:5" x14ac:dyDescent="0.3">
      <c r="B489" s="22">
        <v>123.443</v>
      </c>
      <c r="C489" s="22"/>
      <c r="D489" s="22"/>
      <c r="E489" s="33">
        <v>44609</v>
      </c>
    </row>
    <row r="490" spans="2:5" x14ac:dyDescent="0.3">
      <c r="B490" s="22">
        <v>123.20099999999999</v>
      </c>
      <c r="C490" s="22"/>
      <c r="D490" s="22"/>
      <c r="E490" s="33">
        <v>44610</v>
      </c>
    </row>
    <row r="491" spans="2:5" x14ac:dyDescent="0.3">
      <c r="B491" s="22">
        <v>122.60299999999999</v>
      </c>
      <c r="C491" s="22"/>
      <c r="D491" s="22"/>
      <c r="E491" s="33">
        <v>44613</v>
      </c>
    </row>
    <row r="492" spans="2:5" x14ac:dyDescent="0.3">
      <c r="B492" s="22">
        <v>121.29</v>
      </c>
      <c r="C492" s="22"/>
      <c r="D492" s="22"/>
      <c r="E492" s="33">
        <v>44614</v>
      </c>
    </row>
    <row r="493" spans="2:5" x14ac:dyDescent="0.3">
      <c r="B493" s="22">
        <v>121.402</v>
      </c>
      <c r="C493" s="22"/>
      <c r="D493" s="22"/>
      <c r="E493" s="33">
        <v>44615</v>
      </c>
    </row>
    <row r="494" spans="2:5" x14ac:dyDescent="0.3">
      <c r="B494" s="22">
        <v>116.051</v>
      </c>
      <c r="C494" s="22"/>
      <c r="D494" s="22"/>
      <c r="E494" s="33">
        <v>44616</v>
      </c>
    </row>
    <row r="495" spans="2:5" x14ac:dyDescent="0.3">
      <c r="B495" s="22">
        <v>118.896</v>
      </c>
      <c r="C495" s="22"/>
      <c r="D495" s="22"/>
      <c r="E495" s="33">
        <v>44617</v>
      </c>
    </row>
    <row r="496" spans="2:5" x14ac:dyDescent="0.3">
      <c r="B496" s="22">
        <v>119.95</v>
      </c>
      <c r="C496" s="22"/>
      <c r="D496" s="22"/>
      <c r="E496" s="33">
        <v>44620</v>
      </c>
    </row>
    <row r="497" spans="2:5" x14ac:dyDescent="0.3">
      <c r="B497" s="22">
        <v>118.639</v>
      </c>
      <c r="C497" s="22"/>
      <c r="D497" s="22"/>
      <c r="E497" s="33">
        <v>44622</v>
      </c>
    </row>
    <row r="498" spans="2:5" x14ac:dyDescent="0.3">
      <c r="B498" s="22">
        <v>117.76</v>
      </c>
      <c r="C498" s="22"/>
      <c r="D498" s="22"/>
      <c r="E498" s="33">
        <v>44623</v>
      </c>
    </row>
    <row r="499" spans="2:5" x14ac:dyDescent="0.3">
      <c r="B499" s="22">
        <v>116.73399999999999</v>
      </c>
      <c r="C499" s="22"/>
      <c r="D499" s="22"/>
      <c r="E499" s="33">
        <v>44624</v>
      </c>
    </row>
    <row r="500" spans="2:5" x14ac:dyDescent="0.3">
      <c r="B500" s="22">
        <v>114.304</v>
      </c>
      <c r="C500" s="22"/>
      <c r="D500" s="22"/>
      <c r="E500" s="33">
        <v>44627</v>
      </c>
    </row>
    <row r="501" spans="2:5" x14ac:dyDescent="0.3">
      <c r="B501" s="22">
        <v>115.81</v>
      </c>
      <c r="C501" s="22"/>
      <c r="D501" s="22"/>
      <c r="E501" s="33">
        <v>44628</v>
      </c>
    </row>
    <row r="502" spans="2:5" x14ac:dyDescent="0.3">
      <c r="B502" s="22">
        <v>117.402</v>
      </c>
      <c r="C502" s="22"/>
      <c r="D502" s="22"/>
      <c r="E502" s="33">
        <v>44629</v>
      </c>
    </row>
    <row r="503" spans="2:5" x14ac:dyDescent="0.3">
      <c r="B503" s="22">
        <v>119.047</v>
      </c>
      <c r="C503" s="22"/>
      <c r="D503" s="22"/>
      <c r="E503" s="33">
        <v>44630</v>
      </c>
    </row>
    <row r="504" spans="2:5" x14ac:dyDescent="0.3">
      <c r="B504" s="22">
        <v>119.81399999999999</v>
      </c>
      <c r="C504" s="22"/>
      <c r="D504" s="22"/>
      <c r="E504" s="33">
        <v>44631</v>
      </c>
    </row>
    <row r="505" spans="2:5" x14ac:dyDescent="0.3">
      <c r="B505" s="22">
        <v>121.261</v>
      </c>
      <c r="C505" s="22"/>
      <c r="D505" s="22"/>
      <c r="E505" s="33">
        <v>44634</v>
      </c>
    </row>
    <row r="506" spans="2:5" x14ac:dyDescent="0.3">
      <c r="B506" s="22">
        <v>120.914</v>
      </c>
      <c r="C506" s="22"/>
      <c r="D506" s="22"/>
      <c r="E506" s="33">
        <v>44635</v>
      </c>
    </row>
    <row r="507" spans="2:5" x14ac:dyDescent="0.3">
      <c r="B507" s="22">
        <v>123.29</v>
      </c>
      <c r="C507" s="22"/>
      <c r="D507" s="22"/>
      <c r="E507" s="33">
        <v>44636</v>
      </c>
    </row>
    <row r="508" spans="2:5" x14ac:dyDescent="0.3">
      <c r="B508" s="22">
        <v>125.16800000000001</v>
      </c>
      <c r="C508" s="22"/>
      <c r="D508" s="22"/>
      <c r="E508" s="33">
        <v>44637</v>
      </c>
    </row>
    <row r="509" spans="2:5" x14ac:dyDescent="0.3">
      <c r="B509" s="22">
        <v>123.58</v>
      </c>
      <c r="C509" s="22"/>
      <c r="D509" s="22"/>
      <c r="E509" s="33">
        <v>44641</v>
      </c>
    </row>
    <row r="510" spans="2:5" x14ac:dyDescent="0.3">
      <c r="B510" s="22">
        <v>124.32</v>
      </c>
      <c r="C510" s="22"/>
      <c r="D510" s="22"/>
      <c r="E510" s="33">
        <v>44642</v>
      </c>
    </row>
    <row r="511" spans="2:5" x14ac:dyDescent="0.3">
      <c r="B511" s="22">
        <v>123.80500000000001</v>
      </c>
      <c r="C511" s="22"/>
      <c r="D511" s="22"/>
      <c r="E511" s="33">
        <v>44643</v>
      </c>
    </row>
    <row r="512" spans="2:5" x14ac:dyDescent="0.3">
      <c r="B512" s="22">
        <v>123.634</v>
      </c>
      <c r="C512" s="22"/>
      <c r="D512" s="22"/>
      <c r="E512" s="33">
        <v>44644</v>
      </c>
    </row>
    <row r="513" spans="2:5" x14ac:dyDescent="0.3">
      <c r="B513" s="22">
        <v>123.35</v>
      </c>
      <c r="C513" s="22"/>
      <c r="D513" s="22"/>
      <c r="E513" s="33">
        <v>44645</v>
      </c>
    </row>
    <row r="514" spans="2:5" x14ac:dyDescent="0.3">
      <c r="B514" s="22">
        <v>123.884</v>
      </c>
      <c r="C514" s="22"/>
      <c r="D514" s="22"/>
      <c r="E514" s="33">
        <v>44648</v>
      </c>
    </row>
    <row r="515" spans="2:5" x14ac:dyDescent="0.3">
      <c r="B515" s="22">
        <v>124.893</v>
      </c>
      <c r="C515" s="22"/>
      <c r="D515" s="22"/>
      <c r="E515" s="33">
        <v>44649</v>
      </c>
    </row>
    <row r="516" spans="2:5" x14ac:dyDescent="0.3">
      <c r="B516" s="22">
        <v>125.667</v>
      </c>
      <c r="C516" s="22"/>
      <c r="D516" s="22"/>
      <c r="E516" s="33">
        <v>44650</v>
      </c>
    </row>
    <row r="517" spans="2:5" x14ac:dyDescent="0.3">
      <c r="B517" s="22">
        <v>125.82899999999999</v>
      </c>
      <c r="C517" s="22"/>
      <c r="D517" s="22"/>
      <c r="E517" s="33">
        <v>44651</v>
      </c>
    </row>
    <row r="518" spans="2:5" x14ac:dyDescent="0.3">
      <c r="B518" s="22">
        <v>127.94199999999999</v>
      </c>
      <c r="C518" s="22"/>
      <c r="D518" s="22"/>
      <c r="E518" s="33">
        <v>44652</v>
      </c>
    </row>
    <row r="519" spans="2:5" x14ac:dyDescent="0.3">
      <c r="B519" s="22">
        <v>130.35300000000001</v>
      </c>
      <c r="C519" s="22"/>
      <c r="D519" s="22"/>
      <c r="E519" s="33">
        <v>44655</v>
      </c>
    </row>
    <row r="520" spans="2:5" x14ac:dyDescent="0.3">
      <c r="B520" s="22">
        <v>129.83000000000001</v>
      </c>
      <c r="C520" s="22"/>
      <c r="D520" s="22"/>
      <c r="E520" s="33">
        <v>44656</v>
      </c>
    </row>
    <row r="521" spans="2:5" x14ac:dyDescent="0.3">
      <c r="B521" s="22">
        <v>129.63900000000001</v>
      </c>
      <c r="C521" s="22"/>
      <c r="D521" s="22"/>
      <c r="E521" s="33">
        <v>44657</v>
      </c>
    </row>
    <row r="522" spans="2:5" x14ac:dyDescent="0.3">
      <c r="B522" s="22">
        <v>129.727</v>
      </c>
      <c r="C522" s="22"/>
      <c r="D522" s="22"/>
      <c r="E522" s="33">
        <v>44658</v>
      </c>
    </row>
    <row r="523" spans="2:5" x14ac:dyDescent="0.3">
      <c r="B523" s="22">
        <v>131.381</v>
      </c>
      <c r="C523" s="22"/>
      <c r="D523" s="22"/>
      <c r="E523" s="33">
        <v>44659</v>
      </c>
    </row>
    <row r="524" spans="2:5" x14ac:dyDescent="0.3">
      <c r="B524" s="22">
        <v>131.547</v>
      </c>
      <c r="C524" s="22"/>
      <c r="D524" s="22"/>
      <c r="E524" s="33">
        <v>44662</v>
      </c>
    </row>
    <row r="525" spans="2:5" x14ac:dyDescent="0.3">
      <c r="B525" s="22">
        <v>131.166</v>
      </c>
      <c r="C525" s="22"/>
      <c r="D525" s="22"/>
      <c r="E525" s="33">
        <v>44663</v>
      </c>
    </row>
    <row r="526" spans="2:5" x14ac:dyDescent="0.3">
      <c r="B526" s="22">
        <v>130.70599999999999</v>
      </c>
      <c r="C526" s="22"/>
      <c r="D526" s="22"/>
      <c r="E526" s="33">
        <v>44664</v>
      </c>
    </row>
    <row r="527" spans="2:5" x14ac:dyDescent="0.3">
      <c r="B527" s="22">
        <v>130.45699999999999</v>
      </c>
      <c r="C527" s="22"/>
      <c r="D527" s="22"/>
      <c r="E527" s="33">
        <v>44669</v>
      </c>
    </row>
    <row r="528" spans="2:5" x14ac:dyDescent="0.3">
      <c r="B528" s="22">
        <v>128.64400000000001</v>
      </c>
      <c r="C528" s="22"/>
      <c r="D528" s="22"/>
      <c r="E528" s="33">
        <v>44670</v>
      </c>
    </row>
    <row r="529" spans="2:5" x14ac:dyDescent="0.3">
      <c r="B529" s="22">
        <v>129.28700000000001</v>
      </c>
      <c r="C529" s="22"/>
      <c r="D529" s="22"/>
      <c r="E529" s="33">
        <v>44671</v>
      </c>
    </row>
    <row r="530" spans="2:5" x14ac:dyDescent="0.3">
      <c r="B530" s="22">
        <v>130.381</v>
      </c>
      <c r="C530" s="22"/>
      <c r="D530" s="22"/>
      <c r="E530" s="33">
        <v>44672</v>
      </c>
    </row>
    <row r="531" spans="2:5" x14ac:dyDescent="0.3">
      <c r="B531" s="22">
        <v>129.148</v>
      </c>
      <c r="C531" s="22"/>
      <c r="D531" s="22"/>
      <c r="E531" s="33">
        <v>44673</v>
      </c>
    </row>
    <row r="532" spans="2:5" x14ac:dyDescent="0.3">
      <c r="B532" s="22">
        <v>127.398</v>
      </c>
      <c r="C532" s="22"/>
      <c r="D532" s="22"/>
      <c r="E532" s="33">
        <v>44676</v>
      </c>
    </row>
    <row r="533" spans="2:5" x14ac:dyDescent="0.3">
      <c r="B533" s="22">
        <v>129.04400000000001</v>
      </c>
      <c r="C533" s="22"/>
      <c r="D533" s="22"/>
      <c r="E533" s="33">
        <v>44677</v>
      </c>
    </row>
    <row r="534" spans="2:5" x14ac:dyDescent="0.3">
      <c r="B534" s="22">
        <v>127.986</v>
      </c>
      <c r="C534" s="22"/>
      <c r="D534" s="22"/>
      <c r="E534" s="33">
        <v>44678</v>
      </c>
    </row>
    <row r="535" spans="2:5" x14ac:dyDescent="0.3">
      <c r="B535" s="22">
        <v>128.93299999999999</v>
      </c>
      <c r="C535" s="22"/>
      <c r="D535" s="22"/>
      <c r="E535" s="33">
        <v>44679</v>
      </c>
    </row>
    <row r="536" spans="2:5" x14ac:dyDescent="0.3">
      <c r="B536" s="22">
        <v>127.74</v>
      </c>
      <c r="C536" s="22"/>
      <c r="D536" s="22"/>
      <c r="E536" s="33">
        <v>44680</v>
      </c>
    </row>
    <row r="537" spans="2:5" x14ac:dyDescent="0.3">
      <c r="B537" s="22">
        <v>127.17400000000001</v>
      </c>
      <c r="C537" s="22"/>
      <c r="D537" s="22"/>
      <c r="E537" s="33">
        <v>44683</v>
      </c>
    </row>
    <row r="538" spans="2:5" x14ac:dyDescent="0.3">
      <c r="B538" s="22">
        <v>124.637</v>
      </c>
      <c r="C538" s="22"/>
      <c r="D538" s="22"/>
      <c r="E538" s="33">
        <v>44685</v>
      </c>
    </row>
    <row r="539" spans="2:5" x14ac:dyDescent="0.3">
      <c r="B539" s="22">
        <v>125.06</v>
      </c>
      <c r="C539" s="22"/>
      <c r="D539" s="22"/>
      <c r="E539" s="33">
        <v>44686</v>
      </c>
    </row>
    <row r="540" spans="2:5" x14ac:dyDescent="0.3">
      <c r="B540" s="22">
        <v>123.205</v>
      </c>
      <c r="C540" s="22"/>
      <c r="D540" s="22"/>
      <c r="E540" s="33">
        <v>44687</v>
      </c>
    </row>
    <row r="541" spans="2:5" x14ac:dyDescent="0.3">
      <c r="B541" s="22">
        <v>122.70699999999999</v>
      </c>
      <c r="C541" s="22"/>
      <c r="D541" s="22"/>
      <c r="E541" s="33">
        <v>44690</v>
      </c>
    </row>
    <row r="542" spans="2:5" x14ac:dyDescent="0.3">
      <c r="B542" s="22">
        <v>122.52800000000001</v>
      </c>
      <c r="C542" s="22"/>
      <c r="D542" s="22"/>
      <c r="E542" s="33">
        <v>44691</v>
      </c>
    </row>
    <row r="543" spans="2:5" x14ac:dyDescent="0.3">
      <c r="B543" s="22">
        <v>122.291</v>
      </c>
      <c r="C543" s="22"/>
      <c r="D543" s="22"/>
      <c r="E543" s="33">
        <v>44692</v>
      </c>
    </row>
    <row r="544" spans="2:5" x14ac:dyDescent="0.3">
      <c r="B544" s="22">
        <v>120.212</v>
      </c>
      <c r="C544" s="22"/>
      <c r="D544" s="22"/>
      <c r="E544" s="33">
        <v>44693</v>
      </c>
    </row>
    <row r="545" spans="2:5" x14ac:dyDescent="0.3">
      <c r="B545" s="22">
        <v>119.407</v>
      </c>
      <c r="C545" s="22"/>
      <c r="D545" s="22"/>
      <c r="E545" s="33">
        <v>44694</v>
      </c>
    </row>
    <row r="546" spans="2:5" x14ac:dyDescent="0.3">
      <c r="B546" s="22">
        <v>120.66500000000001</v>
      </c>
      <c r="C546" s="22"/>
      <c r="D546" s="22"/>
      <c r="E546" s="33">
        <v>44697</v>
      </c>
    </row>
    <row r="547" spans="2:5" x14ac:dyDescent="0.3">
      <c r="B547" s="22">
        <v>123.04900000000001</v>
      </c>
      <c r="C547" s="22"/>
      <c r="D547" s="22"/>
      <c r="E547" s="33">
        <v>44698</v>
      </c>
    </row>
    <row r="548" spans="2:5" x14ac:dyDescent="0.3">
      <c r="B548" s="22">
        <v>122.52800000000001</v>
      </c>
      <c r="C548" s="22"/>
      <c r="D548" s="22"/>
      <c r="E548" s="33">
        <v>44699</v>
      </c>
    </row>
    <row r="549" spans="2:5" x14ac:dyDescent="0.3">
      <c r="B549" s="22">
        <v>120.152</v>
      </c>
      <c r="C549" s="22"/>
      <c r="D549" s="22"/>
      <c r="E549" s="33">
        <v>44700</v>
      </c>
    </row>
    <row r="550" spans="2:5" x14ac:dyDescent="0.3">
      <c r="B550" s="22">
        <v>123.20099999999999</v>
      </c>
      <c r="C550" s="22"/>
      <c r="D550" s="22"/>
      <c r="E550" s="33">
        <v>44701</v>
      </c>
    </row>
    <row r="551" spans="2:5" x14ac:dyDescent="0.3">
      <c r="B551" s="22">
        <v>123.346</v>
      </c>
      <c r="C551" s="22"/>
      <c r="D551" s="22"/>
      <c r="E551" s="33">
        <v>44704</v>
      </c>
    </row>
    <row r="552" spans="2:5" x14ac:dyDescent="0.3">
      <c r="B552" s="22">
        <v>122.602</v>
      </c>
      <c r="C552" s="22"/>
      <c r="D552" s="22"/>
      <c r="E552" s="33">
        <v>44705</v>
      </c>
    </row>
    <row r="553" spans="2:5" x14ac:dyDescent="0.3">
      <c r="B553" s="22">
        <v>121.836</v>
      </c>
      <c r="C553" s="22"/>
      <c r="D553" s="22"/>
      <c r="E553" s="33">
        <v>44706</v>
      </c>
    </row>
    <row r="554" spans="2:5" x14ac:dyDescent="0.3">
      <c r="B554" s="22">
        <v>123.17400000000001</v>
      </c>
      <c r="C554" s="22"/>
      <c r="D554" s="22"/>
      <c r="E554" s="33">
        <v>44707</v>
      </c>
    </row>
    <row r="555" spans="2:5" x14ac:dyDescent="0.3">
      <c r="B555" s="22">
        <v>124.16200000000001</v>
      </c>
      <c r="C555" s="22"/>
      <c r="D555" s="22"/>
      <c r="E555" s="33">
        <v>44708</v>
      </c>
    </row>
    <row r="556" spans="2:5" x14ac:dyDescent="0.3">
      <c r="B556" s="22">
        <v>125.807</v>
      </c>
      <c r="C556" s="22"/>
      <c r="D556" s="22"/>
      <c r="E556" s="33">
        <v>44711</v>
      </c>
    </row>
    <row r="557" spans="2:5" x14ac:dyDescent="0.3">
      <c r="B557" s="22">
        <v>126.343</v>
      </c>
      <c r="C557" s="22"/>
      <c r="D557" s="22"/>
      <c r="E557" s="33">
        <v>44712</v>
      </c>
    </row>
    <row r="558" spans="2:5" x14ac:dyDescent="0.3">
      <c r="B558" s="22">
        <v>126.14400000000001</v>
      </c>
      <c r="C558" s="22"/>
      <c r="D558" s="22"/>
      <c r="E558" s="33">
        <v>44713</v>
      </c>
    </row>
    <row r="559" spans="2:5" x14ac:dyDescent="0.3">
      <c r="B559" s="22">
        <v>126.663</v>
      </c>
      <c r="C559" s="22"/>
      <c r="D559" s="22"/>
      <c r="E559" s="33">
        <v>44714</v>
      </c>
    </row>
    <row r="560" spans="2:5" x14ac:dyDescent="0.3">
      <c r="B560" s="22">
        <v>125.57299999999999</v>
      </c>
      <c r="C560" s="22"/>
      <c r="D560" s="22"/>
      <c r="E560" s="33">
        <v>44715</v>
      </c>
    </row>
    <row r="561" spans="2:5" x14ac:dyDescent="0.3">
      <c r="B561" s="22">
        <v>125.437</v>
      </c>
      <c r="C561" s="22"/>
      <c r="D561" s="22"/>
      <c r="E561" s="33">
        <v>44718</v>
      </c>
    </row>
    <row r="562" spans="2:5" x14ac:dyDescent="0.3">
      <c r="B562" s="22">
        <v>124.747</v>
      </c>
      <c r="C562" s="22"/>
      <c r="D562" s="22"/>
      <c r="E562" s="33">
        <v>44719</v>
      </c>
    </row>
    <row r="563" spans="2:5" x14ac:dyDescent="0.3">
      <c r="B563" s="22">
        <v>124.58199999999999</v>
      </c>
      <c r="C563" s="22"/>
      <c r="D563" s="22"/>
      <c r="E563" s="33">
        <v>44720</v>
      </c>
    </row>
    <row r="564" spans="2:5" x14ac:dyDescent="0.3">
      <c r="B564" s="22">
        <v>125.276</v>
      </c>
      <c r="C564" s="22"/>
      <c r="D564" s="22"/>
      <c r="E564" s="33">
        <v>44721</v>
      </c>
    </row>
    <row r="565" spans="2:5" x14ac:dyDescent="0.3">
      <c r="B565" s="22">
        <v>124.425</v>
      </c>
      <c r="C565" s="22"/>
      <c r="D565" s="22"/>
      <c r="E565" s="33">
        <v>44722</v>
      </c>
    </row>
    <row r="566" spans="2:5" x14ac:dyDescent="0.3">
      <c r="B566" s="22">
        <v>121.529</v>
      </c>
      <c r="C566" s="22"/>
      <c r="D566" s="22"/>
      <c r="E566" s="33">
        <v>44725</v>
      </c>
    </row>
    <row r="567" spans="2:5" x14ac:dyDescent="0.3">
      <c r="B567" s="22">
        <v>121.58499999999999</v>
      </c>
      <c r="C567" s="22"/>
      <c r="D567" s="22"/>
      <c r="E567" s="33">
        <v>44726</v>
      </c>
    </row>
    <row r="568" spans="2:5" x14ac:dyDescent="0.3">
      <c r="B568" s="22">
        <v>121.639</v>
      </c>
      <c r="C568" s="22"/>
      <c r="D568" s="22"/>
      <c r="E568" s="33">
        <v>44727</v>
      </c>
    </row>
    <row r="569" spans="2:5" x14ac:dyDescent="0.3">
      <c r="B569" s="22">
        <v>119.18600000000001</v>
      </c>
      <c r="C569" s="22"/>
      <c r="D569" s="22"/>
      <c r="E569" s="33">
        <v>44728</v>
      </c>
    </row>
    <row r="570" spans="2:5" x14ac:dyDescent="0.3">
      <c r="B570" s="22">
        <v>118.514</v>
      </c>
      <c r="C570" s="22"/>
      <c r="D570" s="22"/>
      <c r="E570" s="33">
        <v>44729</v>
      </c>
    </row>
    <row r="571" spans="2:5" x14ac:dyDescent="0.3">
      <c r="B571" s="22">
        <v>117.256</v>
      </c>
      <c r="C571" s="22"/>
      <c r="D571" s="22"/>
      <c r="E571" s="33">
        <v>44732</v>
      </c>
    </row>
    <row r="572" spans="2:5" x14ac:dyDescent="0.3">
      <c r="B572" s="22">
        <v>119.91500000000001</v>
      </c>
      <c r="C572" s="22"/>
      <c r="D572" s="22"/>
      <c r="E572" s="33">
        <v>44733</v>
      </c>
    </row>
    <row r="573" spans="2:5" x14ac:dyDescent="0.3">
      <c r="B573" s="22">
        <v>118.53400000000001</v>
      </c>
      <c r="C573" s="22"/>
      <c r="D573" s="22"/>
      <c r="E573" s="33">
        <v>44734</v>
      </c>
    </row>
    <row r="574" spans="2:5" x14ac:dyDescent="0.3">
      <c r="B574" s="22">
        <v>119.836</v>
      </c>
      <c r="C574" s="22"/>
      <c r="D574" s="22"/>
      <c r="E574" s="33">
        <v>44735</v>
      </c>
    </row>
    <row r="575" spans="2:5" x14ac:dyDescent="0.3">
      <c r="B575" s="22">
        <v>120.738</v>
      </c>
      <c r="C575" s="22"/>
      <c r="D575" s="22"/>
      <c r="E575" s="33">
        <v>44736</v>
      </c>
    </row>
    <row r="576" spans="2:5" x14ac:dyDescent="0.3">
      <c r="B576" s="22">
        <v>121.99</v>
      </c>
      <c r="C576" s="22"/>
      <c r="D576" s="22"/>
      <c r="E576" s="33">
        <v>44739</v>
      </c>
    </row>
    <row r="577" spans="2:5" x14ac:dyDescent="0.3">
      <c r="B577" s="22">
        <v>122.405</v>
      </c>
      <c r="C577" s="22"/>
      <c r="D577" s="22"/>
      <c r="E577" s="33">
        <v>44740</v>
      </c>
    </row>
    <row r="578" spans="2:5" x14ac:dyDescent="0.3">
      <c r="B578" s="22">
        <v>121.661</v>
      </c>
      <c r="C578" s="22"/>
      <c r="D578" s="22"/>
      <c r="E578" s="33">
        <v>44741</v>
      </c>
    </row>
    <row r="579" spans="2:5" x14ac:dyDescent="0.3">
      <c r="B579" s="22">
        <v>121.294</v>
      </c>
      <c r="C579" s="22"/>
      <c r="D579" s="22"/>
      <c r="E579" s="33">
        <v>44742</v>
      </c>
    </row>
    <row r="580" spans="2:5" x14ac:dyDescent="0.3">
      <c r="B580" s="22">
        <v>121.572</v>
      </c>
      <c r="C580" s="22"/>
      <c r="D580" s="22"/>
      <c r="E580" s="33">
        <v>44743</v>
      </c>
    </row>
    <row r="581" spans="2:5" x14ac:dyDescent="0.3">
      <c r="B581" s="22">
        <v>122.578</v>
      </c>
      <c r="C581" s="22"/>
      <c r="D581" s="22"/>
      <c r="E581" s="33">
        <v>44746</v>
      </c>
    </row>
    <row r="582" spans="2:5" x14ac:dyDescent="0.3">
      <c r="B582" s="22">
        <v>122.376</v>
      </c>
      <c r="C582" s="22"/>
      <c r="D582" s="22"/>
      <c r="E582" s="33">
        <v>44747</v>
      </c>
    </row>
    <row r="583" spans="2:5" x14ac:dyDescent="0.3">
      <c r="B583" s="22">
        <v>123.861</v>
      </c>
      <c r="C583" s="22"/>
      <c r="D583" s="22"/>
      <c r="E583" s="33">
        <v>44748</v>
      </c>
    </row>
    <row r="584" spans="2:5" x14ac:dyDescent="0.3">
      <c r="B584" s="22">
        <v>125.196</v>
      </c>
      <c r="C584" s="22"/>
      <c r="D584" s="22"/>
      <c r="E584" s="33">
        <v>44749</v>
      </c>
    </row>
    <row r="585" spans="2:5" x14ac:dyDescent="0.3">
      <c r="B585" s="22">
        <v>126.10599999999999</v>
      </c>
      <c r="C585" s="22"/>
      <c r="D585" s="22"/>
      <c r="E585" s="33">
        <v>44750</v>
      </c>
    </row>
    <row r="586" spans="2:5" x14ac:dyDescent="0.3">
      <c r="B586" s="22">
        <v>126.114</v>
      </c>
      <c r="C586" s="22"/>
      <c r="D586" s="22"/>
      <c r="E586" s="33">
        <v>44753</v>
      </c>
    </row>
    <row r="587" spans="2:5" x14ac:dyDescent="0.3">
      <c r="B587" s="22">
        <v>125.342</v>
      </c>
      <c r="C587" s="22"/>
      <c r="D587" s="22"/>
      <c r="E587" s="33">
        <v>44754</v>
      </c>
    </row>
    <row r="588" spans="2:5" x14ac:dyDescent="0.3">
      <c r="B588" s="22">
        <v>125.002</v>
      </c>
      <c r="C588" s="22"/>
      <c r="D588" s="22"/>
      <c r="E588" s="33">
        <v>44755</v>
      </c>
    </row>
    <row r="589" spans="2:5" x14ac:dyDescent="0.3">
      <c r="B589" s="22">
        <v>124.64400000000001</v>
      </c>
      <c r="C589" s="22"/>
      <c r="D589" s="22"/>
      <c r="E589" s="33">
        <v>44756</v>
      </c>
    </row>
    <row r="590" spans="2:5" x14ac:dyDescent="0.3">
      <c r="B590" s="22">
        <v>125.14400000000001</v>
      </c>
      <c r="C590" s="22"/>
      <c r="D590" s="22"/>
      <c r="E590" s="33">
        <v>44757</v>
      </c>
    </row>
    <row r="591" spans="2:5" x14ac:dyDescent="0.3">
      <c r="B591" s="22">
        <v>126.77800000000001</v>
      </c>
      <c r="C591" s="22"/>
      <c r="D591" s="22"/>
      <c r="E591" s="33">
        <v>44760</v>
      </c>
    </row>
    <row r="592" spans="2:5" x14ac:dyDescent="0.3">
      <c r="B592" s="22">
        <v>127.911</v>
      </c>
      <c r="C592" s="22"/>
      <c r="D592" s="22"/>
      <c r="E592" s="33">
        <v>44761</v>
      </c>
    </row>
    <row r="593" spans="2:5" x14ac:dyDescent="0.3">
      <c r="B593" s="22">
        <v>128.721</v>
      </c>
      <c r="C593" s="22"/>
      <c r="D593" s="22"/>
      <c r="E593" s="33">
        <v>44762</v>
      </c>
    </row>
    <row r="594" spans="2:5" x14ac:dyDescent="0.3">
      <c r="B594" s="22">
        <v>129.327</v>
      </c>
      <c r="C594" s="22"/>
      <c r="D594" s="22"/>
      <c r="E594" s="33">
        <v>44763</v>
      </c>
    </row>
    <row r="595" spans="2:5" x14ac:dyDescent="0.3">
      <c r="B595" s="22">
        <v>129.46600000000001</v>
      </c>
      <c r="C595" s="22"/>
      <c r="D595" s="22"/>
      <c r="E595" s="33">
        <v>44764</v>
      </c>
    </row>
    <row r="596" spans="2:5" x14ac:dyDescent="0.3">
      <c r="B596" s="22">
        <v>129.37799999999999</v>
      </c>
      <c r="C596" s="22"/>
      <c r="D596" s="22"/>
      <c r="E596" s="33">
        <v>44767</v>
      </c>
    </row>
    <row r="597" spans="2:5" x14ac:dyDescent="0.3">
      <c r="B597" s="22">
        <v>128.047</v>
      </c>
      <c r="C597" s="22"/>
      <c r="D597" s="22"/>
      <c r="E597" s="33">
        <v>44768</v>
      </c>
    </row>
    <row r="598" spans="2:5" x14ac:dyDescent="0.3">
      <c r="B598" s="22">
        <v>129.34</v>
      </c>
      <c r="C598" s="22"/>
      <c r="D598" s="22"/>
      <c r="E598" s="33">
        <v>44769</v>
      </c>
    </row>
    <row r="599" spans="2:5" x14ac:dyDescent="0.3">
      <c r="B599" s="22">
        <v>130.89099999999999</v>
      </c>
      <c r="C599" s="22"/>
      <c r="D599" s="22"/>
      <c r="E599" s="33">
        <v>44770</v>
      </c>
    </row>
    <row r="600" spans="2:5" x14ac:dyDescent="0.3">
      <c r="B600" s="22">
        <v>131.98099999999999</v>
      </c>
      <c r="C600" s="22"/>
      <c r="D600" s="22"/>
      <c r="E600" s="33">
        <v>44771</v>
      </c>
    </row>
    <row r="601" spans="2:5" x14ac:dyDescent="0.3">
      <c r="B601" s="22">
        <v>133.45099999999999</v>
      </c>
      <c r="C601" s="22"/>
      <c r="D601" s="22"/>
      <c r="E601" s="33">
        <v>44774</v>
      </c>
    </row>
    <row r="602" spans="2:5" x14ac:dyDescent="0.3">
      <c r="B602" s="22">
        <v>133.25299999999999</v>
      </c>
      <c r="C602" s="22"/>
      <c r="D602" s="22"/>
      <c r="E602" s="33">
        <v>44775</v>
      </c>
    </row>
    <row r="603" spans="2:5" x14ac:dyDescent="0.3">
      <c r="B603" s="22">
        <v>133.399</v>
      </c>
      <c r="C603" s="22"/>
      <c r="D603" s="22"/>
      <c r="E603" s="33">
        <v>44776</v>
      </c>
    </row>
    <row r="604" spans="2:5" x14ac:dyDescent="0.3">
      <c r="B604" s="22">
        <v>133.50299999999999</v>
      </c>
      <c r="C604" s="22"/>
      <c r="D604" s="22"/>
      <c r="E604" s="33">
        <v>44777</v>
      </c>
    </row>
    <row r="605" spans="2:5" x14ac:dyDescent="0.3">
      <c r="B605" s="22">
        <v>133.524</v>
      </c>
      <c r="C605" s="22"/>
      <c r="D605" s="22"/>
      <c r="E605" s="33">
        <v>44778</v>
      </c>
    </row>
    <row r="606" spans="2:5" x14ac:dyDescent="0.3">
      <c r="B606" s="22">
        <v>134.69300000000001</v>
      </c>
      <c r="C606" s="22"/>
      <c r="D606" s="22"/>
      <c r="E606" s="33">
        <v>44781</v>
      </c>
    </row>
    <row r="607" spans="2:5" x14ac:dyDescent="0.3">
      <c r="B607" s="22">
        <v>134.81800000000001</v>
      </c>
      <c r="C607" s="22"/>
      <c r="D607" s="22"/>
      <c r="E607" s="33">
        <v>44783</v>
      </c>
    </row>
    <row r="608" spans="2:5" x14ac:dyDescent="0.3">
      <c r="B608" s="22">
        <v>136.12100000000001</v>
      </c>
      <c r="C608" s="22"/>
      <c r="D608" s="22"/>
      <c r="E608" s="33">
        <v>44784</v>
      </c>
    </row>
    <row r="609" spans="2:5" x14ac:dyDescent="0.3">
      <c r="B609" s="22">
        <v>136.566</v>
      </c>
      <c r="C609" s="22"/>
      <c r="D609" s="22"/>
      <c r="E609" s="33">
        <v>44785</v>
      </c>
    </row>
    <row r="610" spans="2:5" x14ac:dyDescent="0.3">
      <c r="B610" s="22">
        <v>138.13</v>
      </c>
      <c r="C610" s="22"/>
      <c r="D610" s="22"/>
      <c r="E610" s="33">
        <v>44789</v>
      </c>
    </row>
    <row r="611" spans="2:5" x14ac:dyDescent="0.3">
      <c r="B611" s="22">
        <v>138.91300000000001</v>
      </c>
      <c r="C611" s="22"/>
      <c r="D611" s="22"/>
      <c r="E611" s="33">
        <v>44790</v>
      </c>
    </row>
    <row r="612" spans="2:5" x14ac:dyDescent="0.3">
      <c r="B612" s="22">
        <v>138.923</v>
      </c>
      <c r="C612" s="22"/>
      <c r="D612" s="22"/>
      <c r="E612" s="33">
        <v>44791</v>
      </c>
    </row>
    <row r="613" spans="2:5" x14ac:dyDescent="0.3">
      <c r="B613" s="22">
        <v>137.423</v>
      </c>
      <c r="C613" s="22"/>
      <c r="D613" s="22"/>
      <c r="E613" s="33">
        <v>44792</v>
      </c>
    </row>
    <row r="614" spans="2:5" x14ac:dyDescent="0.3">
      <c r="B614" s="22">
        <v>135.369</v>
      </c>
      <c r="C614" s="22"/>
      <c r="D614" s="22"/>
      <c r="E614" s="33">
        <v>44795</v>
      </c>
    </row>
    <row r="615" spans="2:5" x14ac:dyDescent="0.3">
      <c r="B615" s="22">
        <v>136.53399999999999</v>
      </c>
      <c r="C615" s="22"/>
      <c r="D615" s="22"/>
      <c r="E615" s="33">
        <v>44796</v>
      </c>
    </row>
    <row r="616" spans="2:5" x14ac:dyDescent="0.3">
      <c r="B616" s="22">
        <v>136.89400000000001</v>
      </c>
      <c r="C616" s="22"/>
      <c r="D616" s="22"/>
      <c r="E616" s="33">
        <v>44797</v>
      </c>
    </row>
    <row r="617" spans="2:5" x14ac:dyDescent="0.3">
      <c r="B617" s="22">
        <v>136.59700000000001</v>
      </c>
      <c r="C617" s="22"/>
      <c r="D617" s="22"/>
      <c r="E617" s="33">
        <v>44798</v>
      </c>
    </row>
    <row r="618" spans="2:5" x14ac:dyDescent="0.3">
      <c r="B618" s="22">
        <v>137.34399999999999</v>
      </c>
      <c r="C618" s="22"/>
      <c r="D618" s="22"/>
      <c r="E618" s="33">
        <v>44799</v>
      </c>
    </row>
    <row r="619" spans="2:5" x14ac:dyDescent="0.3">
      <c r="B619" s="22">
        <v>136.14699999999999</v>
      </c>
      <c r="C619" s="22"/>
      <c r="D619" s="22"/>
      <c r="E619" s="33">
        <v>44802</v>
      </c>
    </row>
    <row r="620" spans="2:5" x14ac:dyDescent="0.3">
      <c r="B620" s="22">
        <v>138.85599999999999</v>
      </c>
      <c r="C620" s="22"/>
      <c r="D620" s="22"/>
      <c r="E620" s="33">
        <v>44803</v>
      </c>
    </row>
    <row r="621" spans="2:5" x14ac:dyDescent="0.3">
      <c r="B621" s="22">
        <v>138.48099999999999</v>
      </c>
      <c r="C621" s="22"/>
      <c r="D621" s="22"/>
      <c r="E621" s="33">
        <v>44805</v>
      </c>
    </row>
    <row r="622" spans="2:5" x14ac:dyDescent="0.3">
      <c r="B622" s="22">
        <v>138.767</v>
      </c>
      <c r="C622" s="22"/>
      <c r="D622" s="22"/>
      <c r="E622" s="33">
        <v>44806</v>
      </c>
    </row>
    <row r="623" spans="2:5" x14ac:dyDescent="0.3">
      <c r="B623" s="22">
        <v>139.524</v>
      </c>
      <c r="C623" s="22"/>
      <c r="D623" s="22"/>
      <c r="E623" s="33">
        <v>44809</v>
      </c>
    </row>
    <row r="624" spans="2:5" x14ac:dyDescent="0.3">
      <c r="B624" s="22">
        <v>140.274</v>
      </c>
      <c r="C624" s="22"/>
      <c r="D624" s="22"/>
      <c r="E624" s="33">
        <v>44810</v>
      </c>
    </row>
    <row r="625" spans="2:5" x14ac:dyDescent="0.3">
      <c r="B625" s="22">
        <v>140.08600000000001</v>
      </c>
      <c r="C625" s="22"/>
      <c r="D625" s="22"/>
      <c r="E625" s="33">
        <v>44811</v>
      </c>
    </row>
    <row r="626" spans="2:5" x14ac:dyDescent="0.3">
      <c r="B626" s="22">
        <v>141.34399999999999</v>
      </c>
      <c r="C626" s="22"/>
      <c r="D626" s="22"/>
      <c r="E626" s="33">
        <v>44812</v>
      </c>
    </row>
    <row r="627" spans="2:5" x14ac:dyDescent="0.3">
      <c r="B627" s="22">
        <v>141.386</v>
      </c>
      <c r="C627" s="22"/>
      <c r="D627" s="22"/>
      <c r="E627" s="33">
        <v>44813</v>
      </c>
    </row>
    <row r="628" spans="2:5" x14ac:dyDescent="0.3">
      <c r="B628" s="22">
        <v>142.68199999999999</v>
      </c>
      <c r="C628" s="22"/>
      <c r="D628" s="22"/>
      <c r="E628" s="33">
        <v>44816</v>
      </c>
    </row>
    <row r="629" spans="2:5" x14ac:dyDescent="0.3">
      <c r="B629" s="22">
        <v>143.185</v>
      </c>
      <c r="C629" s="22"/>
      <c r="D629" s="22"/>
      <c r="E629" s="33">
        <v>44817</v>
      </c>
    </row>
    <row r="630" spans="2:5" x14ac:dyDescent="0.3">
      <c r="B630" s="22">
        <v>143.09399999999999</v>
      </c>
      <c r="C630" s="22"/>
      <c r="D630" s="22"/>
      <c r="E630" s="33">
        <v>44818</v>
      </c>
    </row>
    <row r="631" spans="2:5" x14ac:dyDescent="0.3">
      <c r="B631" s="22">
        <v>142.571</v>
      </c>
      <c r="C631" s="22"/>
      <c r="D631" s="22"/>
      <c r="E631" s="33">
        <v>44819</v>
      </c>
    </row>
    <row r="632" spans="2:5" x14ac:dyDescent="0.3">
      <c r="B632" s="22">
        <v>140.40899999999999</v>
      </c>
      <c r="C632" s="22"/>
      <c r="D632" s="22"/>
      <c r="E632" s="33">
        <v>44820</v>
      </c>
    </row>
    <row r="633" spans="2:5" x14ac:dyDescent="0.3">
      <c r="B633" s="22">
        <v>141.46299999999999</v>
      </c>
      <c r="C633" s="22"/>
      <c r="D633" s="22"/>
      <c r="E633" s="33">
        <v>44823</v>
      </c>
    </row>
    <row r="634" spans="2:5" x14ac:dyDescent="0.3">
      <c r="B634" s="22">
        <v>143.06399999999999</v>
      </c>
      <c r="C634" s="22"/>
      <c r="D634" s="22"/>
      <c r="E634" s="33">
        <v>44824</v>
      </c>
    </row>
    <row r="635" spans="2:5" x14ac:dyDescent="0.3">
      <c r="B635" s="22">
        <v>142.13999999999999</v>
      </c>
      <c r="C635" s="22"/>
      <c r="D635" s="22"/>
      <c r="E635" s="33">
        <v>44825</v>
      </c>
    </row>
    <row r="636" spans="2:5" x14ac:dyDescent="0.3">
      <c r="B636" s="22">
        <v>141.46299999999999</v>
      </c>
      <c r="C636" s="22"/>
      <c r="D636" s="22"/>
      <c r="E636" s="33">
        <v>44826</v>
      </c>
    </row>
    <row r="637" spans="2:5" x14ac:dyDescent="0.3">
      <c r="B637" s="22">
        <v>138.864</v>
      </c>
      <c r="C637" s="22"/>
      <c r="D637" s="22"/>
      <c r="E637" s="33">
        <v>44827</v>
      </c>
    </row>
    <row r="638" spans="2:5" x14ac:dyDescent="0.3">
      <c r="B638" s="22">
        <v>136.374</v>
      </c>
      <c r="C638" s="22"/>
      <c r="D638" s="22"/>
      <c r="E638" s="33">
        <v>44830</v>
      </c>
    </row>
    <row r="639" spans="2:5" x14ac:dyDescent="0.3">
      <c r="B639" s="22">
        <v>136.38499999999999</v>
      </c>
      <c r="C639" s="22"/>
      <c r="D639" s="22"/>
      <c r="E639" s="33">
        <v>44831</v>
      </c>
    </row>
    <row r="640" spans="2:5" x14ac:dyDescent="0.3">
      <c r="B640" s="22">
        <v>135.84899999999999</v>
      </c>
      <c r="C640" s="22"/>
      <c r="D640" s="22"/>
      <c r="E640" s="33">
        <v>44832</v>
      </c>
    </row>
    <row r="641" spans="2:5" x14ac:dyDescent="0.3">
      <c r="B641" s="22">
        <v>136.51400000000001</v>
      </c>
      <c r="C641" s="22"/>
      <c r="D641" s="22"/>
      <c r="E641" s="33">
        <v>44833</v>
      </c>
    </row>
    <row r="642" spans="2:5" x14ac:dyDescent="0.3">
      <c r="B642" s="22">
        <v>138.36600000000001</v>
      </c>
      <c r="C642" s="22"/>
      <c r="D642" s="22"/>
      <c r="E642" s="33">
        <v>44834</v>
      </c>
    </row>
    <row r="643" spans="2:5" x14ac:dyDescent="0.3">
      <c r="B643" s="22">
        <v>137.30099999999999</v>
      </c>
      <c r="C643" s="22"/>
      <c r="D643" s="22"/>
      <c r="E643" s="33">
        <v>44837</v>
      </c>
    </row>
    <row r="644" spans="2:5" x14ac:dyDescent="0.3">
      <c r="B644" s="22">
        <v>139.881</v>
      </c>
      <c r="C644" s="22"/>
      <c r="D644" s="22"/>
      <c r="E644" s="33">
        <v>44838</v>
      </c>
    </row>
    <row r="645" spans="2:5" x14ac:dyDescent="0.3">
      <c r="B645" s="22">
        <v>140.52500000000001</v>
      </c>
      <c r="C645" s="22"/>
      <c r="D645" s="22"/>
      <c r="E645" s="33">
        <v>44840</v>
      </c>
    </row>
    <row r="646" spans="2:5" x14ac:dyDescent="0.3">
      <c r="B646" s="22">
        <v>140.13300000000001</v>
      </c>
      <c r="C646" s="22"/>
      <c r="D646" s="22"/>
      <c r="E646" s="33">
        <v>44841</v>
      </c>
    </row>
    <row r="647" spans="2:5" x14ac:dyDescent="0.3">
      <c r="B647" s="22">
        <v>139.64699999999999</v>
      </c>
      <c r="C647" s="22"/>
      <c r="D647" s="22"/>
      <c r="E647" s="33">
        <v>44844</v>
      </c>
    </row>
    <row r="648" spans="2:5" x14ac:dyDescent="0.3">
      <c r="B648" s="22">
        <v>137.578</v>
      </c>
      <c r="C648" s="22"/>
      <c r="D648" s="22"/>
      <c r="E648" s="33">
        <v>44845</v>
      </c>
    </row>
    <row r="649" spans="2:5" x14ac:dyDescent="0.3">
      <c r="B649" s="22">
        <v>138.399</v>
      </c>
      <c r="C649" s="22"/>
      <c r="D649" s="22"/>
      <c r="E649" s="33">
        <v>44846</v>
      </c>
    </row>
    <row r="650" spans="2:5" x14ac:dyDescent="0.3">
      <c r="B650" s="22">
        <v>137.428</v>
      </c>
      <c r="C650" s="22"/>
      <c r="D650" s="22"/>
      <c r="E650" s="33">
        <v>44847</v>
      </c>
    </row>
    <row r="651" spans="2:5" x14ac:dyDescent="0.3">
      <c r="B651" s="22">
        <v>138.20500000000001</v>
      </c>
      <c r="C651" s="22"/>
      <c r="D651" s="22"/>
      <c r="E651" s="33">
        <v>44848</v>
      </c>
    </row>
    <row r="652" spans="2:5" x14ac:dyDescent="0.3">
      <c r="B652" s="22">
        <v>139.25200000000001</v>
      </c>
      <c r="C652" s="22"/>
      <c r="D652" s="22"/>
      <c r="E652" s="33">
        <v>44851</v>
      </c>
    </row>
    <row r="653" spans="2:5" x14ac:dyDescent="0.3">
      <c r="B653" s="22">
        <v>140.84700000000001</v>
      </c>
      <c r="C653" s="22"/>
      <c r="D653" s="22"/>
      <c r="E653" s="33">
        <v>44852</v>
      </c>
    </row>
    <row r="654" spans="2:5" x14ac:dyDescent="0.3">
      <c r="B654" s="22">
        <v>140.82599999999999</v>
      </c>
      <c r="C654" s="22"/>
      <c r="D654" s="22"/>
      <c r="E654" s="33">
        <v>44853</v>
      </c>
    </row>
    <row r="655" spans="2:5" x14ac:dyDescent="0.3">
      <c r="B655" s="22">
        <v>141.25</v>
      </c>
      <c r="C655" s="22"/>
      <c r="D655" s="22"/>
      <c r="E655" s="33">
        <v>44854</v>
      </c>
    </row>
    <row r="656" spans="2:5" x14ac:dyDescent="0.3">
      <c r="B656" s="22">
        <v>141.90600000000001</v>
      </c>
      <c r="C656" s="22"/>
      <c r="D656" s="22"/>
      <c r="E656" s="33">
        <v>44855</v>
      </c>
    </row>
    <row r="657" spans="2:5" x14ac:dyDescent="0.3">
      <c r="B657" s="22">
        <v>143.88900000000001</v>
      </c>
      <c r="C657" s="22"/>
      <c r="D657" s="22"/>
      <c r="E657" s="33">
        <v>44859</v>
      </c>
    </row>
    <row r="658" spans="2:5" x14ac:dyDescent="0.3">
      <c r="B658" s="22">
        <v>144.66999999999999</v>
      </c>
      <c r="C658" s="22"/>
      <c r="D658" s="22"/>
      <c r="E658" s="33">
        <v>44861</v>
      </c>
    </row>
    <row r="659" spans="2:5" x14ac:dyDescent="0.3">
      <c r="B659" s="22">
        <v>144.16499999999999</v>
      </c>
      <c r="C659" s="22"/>
      <c r="D659" s="22"/>
      <c r="E659" s="33">
        <v>44862</v>
      </c>
    </row>
    <row r="660" spans="2:5" x14ac:dyDescent="0.3">
      <c r="B660" s="22">
        <v>145.202</v>
      </c>
      <c r="C660" s="22"/>
      <c r="D660" s="22"/>
      <c r="E660" s="33">
        <v>44865</v>
      </c>
    </row>
    <row r="661" spans="2:5" x14ac:dyDescent="0.3">
      <c r="B661" s="22">
        <v>146.17599999999999</v>
      </c>
      <c r="C661" s="22"/>
      <c r="D661" s="22"/>
      <c r="E661" s="33">
        <v>44866</v>
      </c>
    </row>
    <row r="662" spans="2:5" x14ac:dyDescent="0.3">
      <c r="B662" s="22">
        <v>145.452</v>
      </c>
      <c r="C662" s="22"/>
      <c r="D662" s="22"/>
      <c r="E662" s="33">
        <v>44867</v>
      </c>
    </row>
    <row r="663" spans="2:5" x14ac:dyDescent="0.3">
      <c r="B663" s="22">
        <v>145.541</v>
      </c>
      <c r="C663" s="22"/>
      <c r="D663" s="22"/>
      <c r="E663" s="33">
        <v>44868</v>
      </c>
    </row>
    <row r="664" spans="2:5" x14ac:dyDescent="0.3">
      <c r="B664" s="22">
        <v>145.084</v>
      </c>
      <c r="C664" s="22"/>
      <c r="D664" s="22"/>
      <c r="E664" s="33">
        <v>44869</v>
      </c>
    </row>
    <row r="665" spans="2:5" x14ac:dyDescent="0.3">
      <c r="B665" s="22">
        <v>146.511</v>
      </c>
      <c r="C665" s="22"/>
      <c r="D665" s="22"/>
      <c r="E665" s="33">
        <v>44872</v>
      </c>
    </row>
    <row r="666" spans="2:5" x14ac:dyDescent="0.3">
      <c r="B666" s="22">
        <v>146.08799999999999</v>
      </c>
      <c r="C666" s="22"/>
      <c r="D666" s="22"/>
      <c r="E666" s="33">
        <v>44874</v>
      </c>
    </row>
    <row r="667" spans="2:5" x14ac:dyDescent="0.3">
      <c r="B667" s="22">
        <v>145.268</v>
      </c>
      <c r="C667" s="22"/>
      <c r="D667" s="22"/>
      <c r="E667" s="33">
        <v>44875</v>
      </c>
    </row>
    <row r="668" spans="2:5" x14ac:dyDescent="0.3">
      <c r="B668" s="22">
        <v>146.68199999999999</v>
      </c>
      <c r="C668" s="22"/>
      <c r="D668" s="22"/>
      <c r="E668" s="33">
        <v>44876</v>
      </c>
    </row>
    <row r="669" spans="2:5" x14ac:dyDescent="0.3">
      <c r="B669" s="22">
        <v>146.255</v>
      </c>
      <c r="C669" s="22"/>
      <c r="D669" s="22"/>
      <c r="E669" s="33">
        <v>44879</v>
      </c>
    </row>
    <row r="670" spans="2:5" x14ac:dyDescent="0.3">
      <c r="B670" s="22">
        <v>147.232</v>
      </c>
      <c r="C670" s="22"/>
      <c r="D670" s="22"/>
      <c r="E670" s="33">
        <v>44880</v>
      </c>
    </row>
    <row r="671" spans="2:5" x14ac:dyDescent="0.3">
      <c r="B671" s="22">
        <v>147.77000000000001</v>
      </c>
      <c r="C671" s="22"/>
      <c r="D671" s="22"/>
      <c r="E671" s="33">
        <v>44881</v>
      </c>
    </row>
    <row r="672" spans="2:5" x14ac:dyDescent="0.3">
      <c r="B672" s="22">
        <v>147.149</v>
      </c>
      <c r="C672" s="22"/>
      <c r="D672" s="22"/>
      <c r="E672" s="33">
        <v>44882</v>
      </c>
    </row>
    <row r="673" spans="2:5" x14ac:dyDescent="0.3">
      <c r="B673" s="22">
        <v>146.43700000000001</v>
      </c>
      <c r="C673" s="22"/>
      <c r="D673" s="22"/>
      <c r="E673" s="33">
        <v>44883</v>
      </c>
    </row>
    <row r="674" spans="2:5" x14ac:dyDescent="0.3">
      <c r="B674" s="22">
        <v>146.52099999999999</v>
      </c>
      <c r="C674" s="22"/>
      <c r="D674" s="22"/>
      <c r="E674" s="33">
        <v>44886</v>
      </c>
    </row>
    <row r="675" spans="2:5" x14ac:dyDescent="0.3">
      <c r="B675" s="22">
        <v>147.34200000000001</v>
      </c>
      <c r="C675" s="22"/>
      <c r="D675" s="22"/>
      <c r="E675" s="33">
        <v>44887</v>
      </c>
    </row>
    <row r="676" spans="2:5" x14ac:dyDescent="0.3">
      <c r="B676" s="22">
        <v>147.72</v>
      </c>
      <c r="C676" s="22"/>
      <c r="D676" s="22"/>
      <c r="E676" s="33">
        <v>44888</v>
      </c>
    </row>
    <row r="677" spans="2:5" x14ac:dyDescent="0.3">
      <c r="B677" s="22">
        <v>149.114</v>
      </c>
      <c r="C677" s="22"/>
      <c r="D677" s="22"/>
      <c r="E677" s="33">
        <v>44889</v>
      </c>
    </row>
    <row r="678" spans="2:5" x14ac:dyDescent="0.3">
      <c r="B678" s="22">
        <v>149.339</v>
      </c>
      <c r="C678" s="22"/>
      <c r="D678" s="22"/>
      <c r="E678" s="33">
        <v>44890</v>
      </c>
    </row>
    <row r="679" spans="2:5" x14ac:dyDescent="0.3">
      <c r="B679" s="22">
        <v>149.30600000000001</v>
      </c>
      <c r="C679" s="22"/>
      <c r="D679" s="22"/>
      <c r="E679" s="33">
        <v>44893</v>
      </c>
    </row>
    <row r="680" spans="2:5" x14ac:dyDescent="0.3">
      <c r="B680" s="22">
        <v>149.74600000000001</v>
      </c>
      <c r="C680" s="22"/>
      <c r="D680" s="22"/>
      <c r="E680" s="33">
        <v>44894</v>
      </c>
    </row>
    <row r="681" spans="2:5" x14ac:dyDescent="0.3">
      <c r="B681" s="22">
        <v>150.85599999999999</v>
      </c>
      <c r="C681" s="22"/>
      <c r="D681" s="22"/>
      <c r="E681" s="33">
        <v>44895</v>
      </c>
    </row>
    <row r="682" spans="2:5" x14ac:dyDescent="0.3">
      <c r="B682" s="22">
        <v>151.501</v>
      </c>
      <c r="C682" s="22"/>
      <c r="D682" s="22"/>
      <c r="E682" s="33">
        <v>44896</v>
      </c>
    </row>
    <row r="683" spans="2:5" x14ac:dyDescent="0.3">
      <c r="B683" s="22">
        <v>151.352</v>
      </c>
      <c r="C683" s="22"/>
      <c r="D683" s="22"/>
      <c r="E683" s="33">
        <v>44897</v>
      </c>
    </row>
    <row r="684" spans="2:5" x14ac:dyDescent="0.3">
      <c r="B684" s="22">
        <v>151.279</v>
      </c>
      <c r="C684" s="22"/>
      <c r="D684" s="22"/>
      <c r="E684" s="33">
        <v>44900</v>
      </c>
    </row>
    <row r="685" spans="2:5" x14ac:dyDescent="0.3">
      <c r="B685" s="22">
        <v>150.428</v>
      </c>
      <c r="C685" s="22"/>
      <c r="D685" s="22"/>
      <c r="E685" s="33">
        <v>44901</v>
      </c>
    </row>
    <row r="686" spans="2:5" x14ac:dyDescent="0.3">
      <c r="B686" s="22">
        <v>149.87100000000001</v>
      </c>
      <c r="C686" s="22"/>
      <c r="D686" s="22"/>
      <c r="E686" s="33">
        <v>44902</v>
      </c>
    </row>
    <row r="687" spans="2:5" x14ac:dyDescent="0.3">
      <c r="B687" s="22">
        <v>150.87100000000001</v>
      </c>
      <c r="C687" s="22"/>
      <c r="D687" s="22"/>
      <c r="E687" s="33">
        <v>44903</v>
      </c>
    </row>
    <row r="688" spans="2:5" x14ac:dyDescent="0.3">
      <c r="B688" s="22">
        <v>149.934</v>
      </c>
      <c r="C688" s="22"/>
      <c r="D688" s="22"/>
      <c r="E688" s="33">
        <v>44904</v>
      </c>
    </row>
    <row r="689" spans="2:5" x14ac:dyDescent="0.3">
      <c r="B689" s="22">
        <v>150.18299999999999</v>
      </c>
      <c r="C689" s="22"/>
      <c r="D689" s="22"/>
      <c r="E689" s="33">
        <v>44907</v>
      </c>
    </row>
    <row r="690" spans="2:5" x14ac:dyDescent="0.3">
      <c r="B690" s="22">
        <v>150.80799999999999</v>
      </c>
      <c r="C690" s="22"/>
      <c r="D690" s="22"/>
      <c r="E690" s="33">
        <v>44908</v>
      </c>
    </row>
    <row r="691" spans="2:5" x14ac:dyDescent="0.3">
      <c r="B691" s="22">
        <v>151.21899999999999</v>
      </c>
      <c r="C691" s="22"/>
      <c r="D691" s="22"/>
      <c r="E691" s="33">
        <v>44909</v>
      </c>
    </row>
    <row r="692" spans="2:5" x14ac:dyDescent="0.3">
      <c r="B692" s="22">
        <v>150.02500000000001</v>
      </c>
      <c r="C692" s="22"/>
      <c r="D692" s="22"/>
      <c r="E692" s="33">
        <v>44910</v>
      </c>
    </row>
    <row r="693" spans="2:5" x14ac:dyDescent="0.3">
      <c r="B693" s="22">
        <v>148.40899999999999</v>
      </c>
      <c r="C693" s="22"/>
      <c r="D693" s="22"/>
      <c r="E693" s="33">
        <v>44911</v>
      </c>
    </row>
    <row r="694" spans="2:5" x14ac:dyDescent="0.3">
      <c r="B694" s="22">
        <v>149.38499999999999</v>
      </c>
      <c r="C694" s="22"/>
      <c r="D694" s="22"/>
      <c r="E694" s="33">
        <v>44914</v>
      </c>
    </row>
    <row r="695" spans="2:5" x14ac:dyDescent="0.3">
      <c r="B695" s="22">
        <v>148.88900000000001</v>
      </c>
      <c r="C695" s="22"/>
      <c r="D695" s="22"/>
      <c r="E695" s="33">
        <v>44915</v>
      </c>
    </row>
    <row r="696" spans="2:5" x14ac:dyDescent="0.3">
      <c r="B696" s="22">
        <v>147.57300000000001</v>
      </c>
      <c r="C696" s="22"/>
      <c r="D696" s="22"/>
      <c r="E696" s="33">
        <v>44916</v>
      </c>
    </row>
    <row r="697" spans="2:5" x14ac:dyDescent="0.3">
      <c r="B697" s="22">
        <v>146.667</v>
      </c>
      <c r="C697" s="22"/>
      <c r="D697" s="22"/>
      <c r="E697" s="33">
        <v>44917</v>
      </c>
    </row>
    <row r="698" spans="2:5" x14ac:dyDescent="0.3">
      <c r="B698" s="22">
        <v>144.40799999999999</v>
      </c>
      <c r="C698" s="22"/>
      <c r="D698" s="22"/>
      <c r="E698" s="33">
        <v>44918</v>
      </c>
    </row>
    <row r="699" spans="2:5" x14ac:dyDescent="0.3">
      <c r="B699" s="22">
        <v>146.63900000000001</v>
      </c>
      <c r="C699" s="22"/>
      <c r="D699" s="22"/>
      <c r="E699" s="33">
        <v>44921</v>
      </c>
    </row>
    <row r="700" spans="2:5" x14ac:dyDescent="0.3">
      <c r="B700" s="22">
        <v>147.01900000000001</v>
      </c>
      <c r="C700" s="22"/>
      <c r="D700" s="22"/>
      <c r="E700" s="33">
        <v>44922</v>
      </c>
    </row>
    <row r="701" spans="2:5" x14ac:dyDescent="0.3">
      <c r="B701" s="22">
        <v>146.988</v>
      </c>
      <c r="C701" s="22"/>
      <c r="D701" s="22"/>
      <c r="E701" s="33">
        <v>44923</v>
      </c>
    </row>
    <row r="702" spans="2:5" x14ac:dyDescent="0.3">
      <c r="B702" s="22">
        <v>147.79499999999999</v>
      </c>
      <c r="C702" s="22"/>
      <c r="D702" s="22"/>
      <c r="E702" s="33">
        <v>44924</v>
      </c>
    </row>
    <row r="703" spans="2:5" x14ac:dyDescent="0.3">
      <c r="B703" s="22">
        <v>147.33500000000001</v>
      </c>
      <c r="C703" s="22"/>
      <c r="D703" s="22"/>
      <c r="E703" s="33">
        <v>44925</v>
      </c>
    </row>
    <row r="704" spans="2:5" x14ac:dyDescent="0.3">
      <c r="B704" s="22">
        <v>147.94399999999999</v>
      </c>
      <c r="C704" s="22"/>
      <c r="D704" s="22"/>
      <c r="E704" s="33">
        <v>44928</v>
      </c>
    </row>
    <row r="705" spans="2:5" x14ac:dyDescent="0.3">
      <c r="B705" s="22">
        <v>148.34299999999999</v>
      </c>
      <c r="C705" s="22"/>
      <c r="D705" s="22"/>
      <c r="E705" s="33">
        <v>44929</v>
      </c>
    </row>
    <row r="706" spans="2:5" x14ac:dyDescent="0.3">
      <c r="B706" s="22">
        <v>146.91300000000001</v>
      </c>
      <c r="C706" s="22"/>
      <c r="D706" s="22"/>
      <c r="E706" s="33">
        <v>44930</v>
      </c>
    </row>
    <row r="707" spans="2:5" x14ac:dyDescent="0.3">
      <c r="B707" s="22">
        <v>147.09299999999999</v>
      </c>
      <c r="C707" s="22"/>
      <c r="D707" s="22"/>
      <c r="E707" s="33">
        <v>44931</v>
      </c>
    </row>
    <row r="708" spans="2:5" x14ac:dyDescent="0.3">
      <c r="B708" s="22">
        <v>146.28399999999999</v>
      </c>
      <c r="C708" s="22"/>
      <c r="D708" s="22"/>
      <c r="E708" s="33">
        <v>44932</v>
      </c>
    </row>
    <row r="709" spans="2:5" x14ac:dyDescent="0.3">
      <c r="B709" s="22">
        <v>147.94</v>
      </c>
      <c r="C709" s="22"/>
      <c r="D709" s="22"/>
      <c r="E709" s="33">
        <v>44935</v>
      </c>
    </row>
    <row r="710" spans="2:5" x14ac:dyDescent="0.3">
      <c r="B710" s="22">
        <v>146.64500000000001</v>
      </c>
      <c r="C710" s="22"/>
      <c r="D710" s="22"/>
      <c r="E710" s="33">
        <v>44936</v>
      </c>
    </row>
    <row r="711" spans="2:5" x14ac:dyDescent="0.3">
      <c r="B711" s="22">
        <v>146.102</v>
      </c>
      <c r="C711" s="22"/>
      <c r="D711" s="22"/>
      <c r="E711" s="33">
        <v>44937</v>
      </c>
    </row>
    <row r="712" spans="2:5" x14ac:dyDescent="0.3">
      <c r="B712" s="22">
        <v>146.315</v>
      </c>
      <c r="C712" s="22"/>
      <c r="D712" s="22"/>
      <c r="E712" s="33">
        <v>44938</v>
      </c>
    </row>
    <row r="713" spans="2:5" x14ac:dyDescent="0.3">
      <c r="B713" s="22">
        <v>146.91800000000001</v>
      </c>
      <c r="C713" s="22"/>
      <c r="D713" s="22"/>
      <c r="E713" s="33">
        <v>44939</v>
      </c>
    </row>
    <row r="714" spans="2:5" x14ac:dyDescent="0.3">
      <c r="B714" s="22">
        <v>146.53399999999999</v>
      </c>
      <c r="C714" s="22"/>
      <c r="D714" s="22"/>
      <c r="E714" s="33">
        <v>44942</v>
      </c>
    </row>
    <row r="715" spans="2:5" x14ac:dyDescent="0.3">
      <c r="B715" s="22">
        <v>147.05500000000001</v>
      </c>
      <c r="C715" s="22"/>
      <c r="D715" s="22"/>
      <c r="E715" s="33">
        <v>44943</v>
      </c>
    </row>
    <row r="716" spans="2:5" x14ac:dyDescent="0.3">
      <c r="B716" s="22">
        <v>147.476</v>
      </c>
      <c r="C716" s="22"/>
      <c r="D716" s="22"/>
      <c r="E716" s="33">
        <v>44944</v>
      </c>
    </row>
    <row r="717" spans="2:5" x14ac:dyDescent="0.3">
      <c r="B717" s="22">
        <v>147.624</v>
      </c>
      <c r="C717" s="22"/>
      <c r="D717" s="22"/>
      <c r="E717" s="33">
        <v>44945</v>
      </c>
    </row>
    <row r="718" spans="2:5" x14ac:dyDescent="0.3">
      <c r="B718" s="22">
        <v>147.483</v>
      </c>
      <c r="C718" s="22"/>
      <c r="D718" s="22"/>
      <c r="E718" s="33">
        <v>44946</v>
      </c>
    </row>
    <row r="719" spans="2:5" x14ac:dyDescent="0.3">
      <c r="B719" s="22">
        <v>148.38900000000001</v>
      </c>
      <c r="C719" s="22"/>
      <c r="D719" s="22"/>
      <c r="E719" s="33">
        <v>44949</v>
      </c>
    </row>
    <row r="720" spans="2:5" x14ac:dyDescent="0.3">
      <c r="B720" s="22">
        <v>148.08099999999999</v>
      </c>
      <c r="C720" s="22"/>
      <c r="D720" s="22"/>
      <c r="E720" s="33">
        <v>44950</v>
      </c>
    </row>
    <row r="721" spans="2:5" x14ac:dyDescent="0.3">
      <c r="B721" s="22">
        <v>146.006</v>
      </c>
      <c r="C721" s="22"/>
      <c r="D721" s="22"/>
      <c r="E721" s="33">
        <v>44951</v>
      </c>
    </row>
    <row r="722" spans="2:5" x14ac:dyDescent="0.3">
      <c r="B722" s="22">
        <v>143.9</v>
      </c>
      <c r="C722" s="22"/>
      <c r="D722" s="22"/>
      <c r="E722" s="33">
        <v>44953</v>
      </c>
    </row>
    <row r="723" spans="2:5" x14ac:dyDescent="0.3">
      <c r="B723" s="22">
        <v>143.87700000000001</v>
      </c>
      <c r="C723" s="22"/>
      <c r="D723" s="22"/>
      <c r="E723" s="33">
        <v>44956</v>
      </c>
    </row>
    <row r="724" spans="2:5" x14ac:dyDescent="0.3">
      <c r="B724" s="22">
        <v>144.893</v>
      </c>
      <c r="C724" s="22"/>
      <c r="D724" s="22"/>
      <c r="E724" s="33">
        <v>44957</v>
      </c>
    </row>
    <row r="725" spans="2:5" x14ac:dyDescent="0.3">
      <c r="B725" s="22">
        <v>143.74600000000001</v>
      </c>
      <c r="C725" s="22"/>
      <c r="D725" s="22"/>
      <c r="E725" s="33">
        <v>44958</v>
      </c>
    </row>
    <row r="726" spans="2:5" x14ac:dyDescent="0.3">
      <c r="B726" s="22">
        <v>143.83099999999999</v>
      </c>
      <c r="C726" s="22"/>
      <c r="D726" s="22"/>
      <c r="E726" s="33">
        <v>44959</v>
      </c>
    </row>
    <row r="727" spans="2:5" x14ac:dyDescent="0.3">
      <c r="B727" s="22">
        <v>145.34200000000001</v>
      </c>
      <c r="C727" s="22"/>
      <c r="D727" s="22"/>
      <c r="E727" s="33">
        <v>44960</v>
      </c>
    </row>
    <row r="728" spans="2:5" x14ac:dyDescent="0.3">
      <c r="B728" s="22">
        <v>145.51599999999999</v>
      </c>
      <c r="C728" s="22"/>
      <c r="D728" s="22"/>
      <c r="E728" s="33">
        <v>44963</v>
      </c>
    </row>
    <row r="729" spans="2:5" x14ac:dyDescent="0.3">
      <c r="B729" s="22">
        <v>145.37299999999999</v>
      </c>
      <c r="C729" s="22"/>
      <c r="D729" s="22"/>
      <c r="E729" s="33">
        <v>44964</v>
      </c>
    </row>
    <row r="730" spans="2:5" x14ac:dyDescent="0.3">
      <c r="B730" s="22">
        <v>145.84200000000001</v>
      </c>
      <c r="C730" s="22"/>
      <c r="D730" s="22"/>
      <c r="E730" s="33">
        <v>44965</v>
      </c>
    </row>
    <row r="731" spans="2:5" x14ac:dyDescent="0.3">
      <c r="B731" s="22">
        <v>145.93100000000001</v>
      </c>
      <c r="C731" s="22"/>
      <c r="D731" s="22"/>
      <c r="E731" s="33">
        <v>44966</v>
      </c>
    </row>
    <row r="732" spans="2:5" x14ac:dyDescent="0.3">
      <c r="B732" s="22">
        <v>145.91999999999999</v>
      </c>
      <c r="C732" s="22"/>
      <c r="D732" s="22"/>
      <c r="E732" s="33">
        <v>44967</v>
      </c>
    </row>
    <row r="733" spans="2:5" x14ac:dyDescent="0.3">
      <c r="B733" s="22">
        <v>145.262</v>
      </c>
      <c r="C733" s="22"/>
      <c r="D733" s="22"/>
      <c r="E733" s="33">
        <v>44970</v>
      </c>
    </row>
    <row r="734" spans="2:5" x14ac:dyDescent="0.3">
      <c r="B734" s="22">
        <v>145.76300000000001</v>
      </c>
      <c r="C734" s="22"/>
      <c r="D734" s="22"/>
      <c r="E734" s="33">
        <v>44971</v>
      </c>
    </row>
    <row r="735" spans="2:5" x14ac:dyDescent="0.3">
      <c r="B735" s="22">
        <v>146.73400000000001</v>
      </c>
      <c r="C735" s="22"/>
      <c r="D735" s="22"/>
      <c r="E735" s="33">
        <v>44972</v>
      </c>
    </row>
    <row r="736" spans="2:5" x14ac:dyDescent="0.3">
      <c r="B736" s="22">
        <v>148.03</v>
      </c>
      <c r="C736" s="22"/>
      <c r="D736" s="22"/>
      <c r="E736" s="33">
        <v>44973</v>
      </c>
    </row>
    <row r="737" spans="2:5" x14ac:dyDescent="0.3">
      <c r="B737" s="22">
        <v>147.16900000000001</v>
      </c>
      <c r="C737" s="22"/>
      <c r="D737" s="22"/>
      <c r="E737" s="33">
        <v>44974</v>
      </c>
    </row>
    <row r="738" spans="2:5" x14ac:dyDescent="0.3">
      <c r="B738" s="22">
        <v>146.672</v>
      </c>
      <c r="C738" s="22"/>
      <c r="D738" s="22"/>
      <c r="E738" s="33">
        <v>44977</v>
      </c>
    </row>
    <row r="739" spans="2:5" x14ac:dyDescent="0.3">
      <c r="B739" s="22">
        <v>146.40600000000001</v>
      </c>
      <c r="C739" s="22"/>
      <c r="D739" s="22"/>
      <c r="E739" s="33">
        <v>44978</v>
      </c>
    </row>
    <row r="740" spans="2:5" x14ac:dyDescent="0.3">
      <c r="B740" s="22">
        <v>144.833</v>
      </c>
      <c r="C740" s="22"/>
      <c r="D740" s="22"/>
      <c r="E740" s="33">
        <v>44979</v>
      </c>
    </row>
    <row r="741" spans="2:5" x14ac:dyDescent="0.3">
      <c r="B741" s="22">
        <v>144.65100000000001</v>
      </c>
      <c r="C741" s="22"/>
      <c r="D741" s="22"/>
      <c r="E741" s="33">
        <v>44980</v>
      </c>
    </row>
    <row r="742" spans="2:5" x14ac:dyDescent="0.3">
      <c r="B742" s="22">
        <v>144.45099999999999</v>
      </c>
      <c r="C742" s="22"/>
      <c r="D742" s="22"/>
      <c r="E742" s="33">
        <v>44981</v>
      </c>
    </row>
    <row r="743" spans="2:5" x14ac:dyDescent="0.3">
      <c r="B743" s="22">
        <v>144.333</v>
      </c>
      <c r="C743" s="22"/>
      <c r="D743" s="22"/>
      <c r="E743" s="33">
        <v>44984</v>
      </c>
    </row>
    <row r="744" spans="2:5" x14ac:dyDescent="0.3">
      <c r="B744" s="22">
        <v>143.74</v>
      </c>
      <c r="C744" s="22"/>
      <c r="D744" s="22"/>
      <c r="E744" s="33">
        <v>44985</v>
      </c>
    </row>
    <row r="745" spans="2:5" x14ac:dyDescent="0.3">
      <c r="B745" s="22">
        <v>145.108</v>
      </c>
      <c r="C745" s="22"/>
      <c r="D745" s="22"/>
      <c r="E745" s="33">
        <v>44986</v>
      </c>
    </row>
    <row r="746" spans="2:5" x14ac:dyDescent="0.3">
      <c r="B746" s="22">
        <v>144.18799999999999</v>
      </c>
      <c r="C746" s="22"/>
      <c r="D746" s="22"/>
      <c r="E746" s="33">
        <v>44987</v>
      </c>
    </row>
    <row r="747" spans="2:5" x14ac:dyDescent="0.3">
      <c r="B747" s="22">
        <v>145.72999999999999</v>
      </c>
      <c r="C747" s="22"/>
      <c r="D747" s="22"/>
      <c r="E747" s="33">
        <v>44988</v>
      </c>
    </row>
    <row r="748" spans="2:5" x14ac:dyDescent="0.3">
      <c r="B748" s="22">
        <v>146.584</v>
      </c>
      <c r="C748" s="22"/>
      <c r="D748" s="22"/>
      <c r="E748" s="33">
        <v>44991</v>
      </c>
    </row>
    <row r="749" spans="2:5" x14ac:dyDescent="0.3">
      <c r="B749" s="22">
        <v>147.208</v>
      </c>
      <c r="C749" s="22"/>
      <c r="D749" s="22"/>
      <c r="E749" s="33">
        <v>44993</v>
      </c>
    </row>
    <row r="750" spans="2:5" x14ac:dyDescent="0.3">
      <c r="B750" s="22">
        <v>146.37100000000001</v>
      </c>
      <c r="C750" s="22"/>
      <c r="D750" s="22"/>
      <c r="E750" s="33">
        <v>44994</v>
      </c>
    </row>
    <row r="751" spans="2:5" x14ac:dyDescent="0.3">
      <c r="B751" s="22">
        <v>145.185</v>
      </c>
      <c r="C751" s="22"/>
      <c r="D751" s="22"/>
      <c r="E751" s="33">
        <v>44995</v>
      </c>
    </row>
    <row r="752" spans="2:5" x14ac:dyDescent="0.3">
      <c r="B752" s="22">
        <v>143.38399999999999</v>
      </c>
      <c r="C752" s="22"/>
      <c r="D752" s="22"/>
      <c r="E752" s="33">
        <v>44998</v>
      </c>
    </row>
    <row r="753" spans="2:5" x14ac:dyDescent="0.3">
      <c r="B753" s="22">
        <v>142.768</v>
      </c>
      <c r="C753" s="22"/>
      <c r="D753" s="22"/>
      <c r="E753" s="33">
        <v>44999</v>
      </c>
    </row>
    <row r="754" spans="2:5" x14ac:dyDescent="0.3">
      <c r="B754" s="22">
        <v>142.28</v>
      </c>
      <c r="C754" s="22"/>
      <c r="D754" s="22"/>
      <c r="E754" s="33">
        <v>45000</v>
      </c>
    </row>
    <row r="755" spans="2:5" x14ac:dyDescent="0.3">
      <c r="B755" s="22">
        <v>142.351</v>
      </c>
      <c r="C755" s="22"/>
      <c r="D755" s="22"/>
      <c r="E755" s="33">
        <v>45001</v>
      </c>
    </row>
    <row r="756" spans="2:5" x14ac:dyDescent="0.3">
      <c r="B756" s="22">
        <v>143.62</v>
      </c>
      <c r="C756" s="22"/>
      <c r="D756" s="22"/>
      <c r="E756" s="33">
        <v>45002</v>
      </c>
    </row>
    <row r="757" spans="2:5" x14ac:dyDescent="0.3">
      <c r="B757" s="22">
        <v>142.63200000000001</v>
      </c>
      <c r="C757" s="22"/>
      <c r="D757" s="22"/>
      <c r="E757" s="33">
        <v>45005</v>
      </c>
    </row>
    <row r="758" spans="2:5" x14ac:dyDescent="0.3">
      <c r="B758" s="22">
        <v>143.29599999999999</v>
      </c>
      <c r="C758" s="22"/>
      <c r="D758" s="22"/>
      <c r="E758" s="33">
        <v>45006</v>
      </c>
    </row>
    <row r="759" spans="2:5" x14ac:dyDescent="0.3">
      <c r="B759" s="22">
        <v>143.501</v>
      </c>
      <c r="C759" s="22"/>
      <c r="D759" s="22"/>
      <c r="E759" s="33">
        <v>45007</v>
      </c>
    </row>
    <row r="760" spans="2:5" x14ac:dyDescent="0.3">
      <c r="B760" s="22">
        <v>142.739</v>
      </c>
      <c r="C760" s="22"/>
      <c r="D760" s="22"/>
      <c r="E760" s="33">
        <v>45008</v>
      </c>
    </row>
    <row r="761" spans="2:5" x14ac:dyDescent="0.3">
      <c r="B761" s="22">
        <v>142.22200000000001</v>
      </c>
      <c r="C761" s="22"/>
      <c r="D761" s="22"/>
      <c r="E761" s="33">
        <v>45009</v>
      </c>
    </row>
    <row r="762" spans="2:5" x14ac:dyDescent="0.3">
      <c r="B762" s="22">
        <v>142.30500000000001</v>
      </c>
      <c r="C762" s="22"/>
      <c r="D762" s="22"/>
      <c r="E762" s="33">
        <v>45012</v>
      </c>
    </row>
    <row r="763" spans="2:5" x14ac:dyDescent="0.3">
      <c r="B763" s="22">
        <v>142.01499999999999</v>
      </c>
      <c r="C763" s="22"/>
      <c r="D763" s="22"/>
      <c r="E763" s="33">
        <v>45013</v>
      </c>
    </row>
    <row r="764" spans="2:5" x14ac:dyDescent="0.3">
      <c r="B764" s="22">
        <v>143.22999999999999</v>
      </c>
      <c r="C764" s="22"/>
      <c r="D764" s="22"/>
      <c r="E764" s="33">
        <v>45014</v>
      </c>
    </row>
    <row r="765" spans="2:5" x14ac:dyDescent="0.3">
      <c r="B765" s="22">
        <v>145.09399999999999</v>
      </c>
      <c r="C765" s="22"/>
      <c r="D765" s="22"/>
      <c r="E765" s="33">
        <v>45016</v>
      </c>
    </row>
    <row r="766" spans="2:5" x14ac:dyDescent="0.3">
      <c r="B766" s="22">
        <v>145.57400000000001</v>
      </c>
      <c r="C766" s="22"/>
      <c r="D766" s="22"/>
      <c r="E766" s="33">
        <v>45019</v>
      </c>
    </row>
    <row r="767" spans="2:5" x14ac:dyDescent="0.3">
      <c r="B767" s="22">
        <v>145.76900000000001</v>
      </c>
      <c r="C767" s="22"/>
      <c r="D767" s="22"/>
      <c r="E767" s="33">
        <v>45021</v>
      </c>
    </row>
    <row r="768" spans="2:5" x14ac:dyDescent="0.3">
      <c r="B768" s="22">
        <v>145.88900000000001</v>
      </c>
      <c r="C768" s="22"/>
      <c r="D768" s="22"/>
      <c r="E768" s="33">
        <v>45022</v>
      </c>
    </row>
    <row r="769" spans="2:5" x14ac:dyDescent="0.3">
      <c r="B769" s="22">
        <v>146.583</v>
      </c>
      <c r="C769" s="22"/>
      <c r="D769" s="22"/>
      <c r="E769" s="33">
        <v>45026</v>
      </c>
    </row>
    <row r="770" spans="2:5" x14ac:dyDescent="0.3">
      <c r="B770" s="22">
        <v>147.31</v>
      </c>
      <c r="C770" s="22"/>
      <c r="D770" s="22"/>
      <c r="E770" s="33">
        <v>45027</v>
      </c>
    </row>
    <row r="771" spans="2:5" x14ac:dyDescent="0.3">
      <c r="B771" s="22">
        <v>147.98500000000001</v>
      </c>
      <c r="C771" s="22"/>
      <c r="D771" s="22"/>
      <c r="E771" s="33">
        <v>45028</v>
      </c>
    </row>
    <row r="772" spans="2:5" x14ac:dyDescent="0.3">
      <c r="B772" s="22">
        <v>147.94200000000001</v>
      </c>
      <c r="C772" s="22"/>
      <c r="D772" s="22"/>
      <c r="E772" s="33">
        <v>45029</v>
      </c>
    </row>
    <row r="773" spans="2:5" x14ac:dyDescent="0.3">
      <c r="B773" s="22">
        <v>147.09200000000001</v>
      </c>
      <c r="C773" s="22"/>
      <c r="D773" s="22"/>
      <c r="E773" s="33">
        <v>45033</v>
      </c>
    </row>
    <row r="774" spans="2:5" x14ac:dyDescent="0.3">
      <c r="B774" s="22">
        <v>147.19300000000001</v>
      </c>
      <c r="C774" s="22"/>
      <c r="D774" s="22"/>
      <c r="E774" s="33">
        <v>45034</v>
      </c>
    </row>
    <row r="775" spans="2:5" x14ac:dyDescent="0.3">
      <c r="B775" s="22">
        <v>146.607</v>
      </c>
      <c r="C775" s="22"/>
      <c r="D775" s="22"/>
      <c r="E775" s="33">
        <v>45035</v>
      </c>
    </row>
    <row r="776" spans="2:5" x14ac:dyDescent="0.3">
      <c r="B776" s="22">
        <v>146.876</v>
      </c>
      <c r="C776" s="22"/>
      <c r="D776" s="22"/>
      <c r="E776" s="33">
        <v>45036</v>
      </c>
    </row>
    <row r="777" spans="2:5" x14ac:dyDescent="0.3">
      <c r="B777" s="22">
        <v>146.733</v>
      </c>
      <c r="C777" s="22"/>
      <c r="D777" s="22"/>
      <c r="E777" s="33">
        <v>45037</v>
      </c>
    </row>
    <row r="778" spans="2:5" x14ac:dyDescent="0.3">
      <c r="B778" s="22">
        <v>147.584</v>
      </c>
      <c r="C778" s="22"/>
      <c r="D778" s="22"/>
      <c r="E778" s="33">
        <v>45040</v>
      </c>
    </row>
    <row r="779" spans="2:5" x14ac:dyDescent="0.3">
      <c r="B779" s="22">
        <v>147.76</v>
      </c>
      <c r="C779" s="22"/>
      <c r="D779" s="22"/>
      <c r="E779" s="33">
        <v>45041</v>
      </c>
    </row>
    <row r="780" spans="2:5" x14ac:dyDescent="0.3">
      <c r="B780" s="22">
        <v>148.31800000000001</v>
      </c>
      <c r="C780" s="22"/>
      <c r="D780" s="22"/>
      <c r="E780" s="33">
        <v>45042</v>
      </c>
    </row>
    <row r="781" spans="2:5" x14ac:dyDescent="0.3">
      <c r="B781" s="22">
        <v>149.17099999999999</v>
      </c>
      <c r="C781" s="22"/>
      <c r="D781" s="22"/>
      <c r="E781" s="33">
        <v>45043</v>
      </c>
    </row>
    <row r="782" spans="2:5" x14ac:dyDescent="0.3">
      <c r="B782" s="22">
        <v>149.946</v>
      </c>
      <c r="C782" s="22"/>
      <c r="D782" s="22"/>
      <c r="E782" s="33">
        <v>45044</v>
      </c>
    </row>
    <row r="783" spans="2:5" x14ac:dyDescent="0.3">
      <c r="B783" s="22">
        <v>150.73599999999999</v>
      </c>
      <c r="C783" s="22"/>
      <c r="D783" s="22"/>
      <c r="E783" s="33">
        <v>45048</v>
      </c>
    </row>
    <row r="784" spans="2:5" x14ac:dyDescent="0.3">
      <c r="B784" s="22">
        <v>150.46299999999999</v>
      </c>
      <c r="C784" s="22"/>
      <c r="D784" s="22"/>
      <c r="E784" s="33">
        <v>45049</v>
      </c>
    </row>
    <row r="785" spans="2:5" x14ac:dyDescent="0.3">
      <c r="B785" s="22">
        <v>151.30500000000001</v>
      </c>
      <c r="C785" s="22"/>
      <c r="D785" s="22"/>
      <c r="E785" s="33">
        <v>45050</v>
      </c>
    </row>
    <row r="786" spans="2:5" x14ac:dyDescent="0.3">
      <c r="B786" s="22">
        <v>150.14400000000001</v>
      </c>
      <c r="C786" s="22"/>
      <c r="D786" s="22"/>
      <c r="E786" s="33">
        <v>45051</v>
      </c>
    </row>
    <row r="787" spans="2:5" x14ac:dyDescent="0.3">
      <c r="B787" s="22">
        <v>151.40700000000001</v>
      </c>
      <c r="C787" s="22"/>
      <c r="D787" s="22"/>
      <c r="E787" s="33">
        <v>45054</v>
      </c>
    </row>
    <row r="788" spans="2:5" x14ac:dyDescent="0.3">
      <c r="B788" s="22">
        <v>151.09100000000001</v>
      </c>
      <c r="C788" s="22"/>
      <c r="D788" s="22"/>
      <c r="E788" s="33">
        <v>45055</v>
      </c>
    </row>
    <row r="789" spans="2:5" x14ac:dyDescent="0.3">
      <c r="B789" s="22">
        <v>151.56399999999999</v>
      </c>
      <c r="C789" s="22"/>
      <c r="D789" s="22"/>
      <c r="E789" s="33">
        <v>45056</v>
      </c>
    </row>
    <row r="790" spans="2:5" x14ac:dyDescent="0.3">
      <c r="B790" s="22">
        <v>151.68299999999999</v>
      </c>
      <c r="C790" s="22"/>
      <c r="D790" s="22"/>
      <c r="E790" s="33">
        <v>45057</v>
      </c>
    </row>
    <row r="791" spans="2:5" x14ac:dyDescent="0.3">
      <c r="B791" s="22">
        <v>151.55199999999999</v>
      </c>
      <c r="C791" s="22"/>
      <c r="D791" s="22"/>
      <c r="E791" s="33">
        <v>45058</v>
      </c>
    </row>
    <row r="792" spans="2:5" x14ac:dyDescent="0.3">
      <c r="B792" s="22">
        <v>152.63499999999999</v>
      </c>
      <c r="C792" s="22"/>
      <c r="D792" s="22"/>
      <c r="E792" s="33">
        <v>45061</v>
      </c>
    </row>
    <row r="793" spans="2:5" x14ac:dyDescent="0.3">
      <c r="B793" s="22">
        <v>152.495</v>
      </c>
      <c r="C793" s="22"/>
      <c r="D793" s="22"/>
      <c r="E793" s="33">
        <v>45062</v>
      </c>
    </row>
    <row r="794" spans="2:5" x14ac:dyDescent="0.3">
      <c r="B794" s="22">
        <v>151.94499999999999</v>
      </c>
      <c r="C794" s="22"/>
      <c r="D794" s="22"/>
      <c r="E794" s="33">
        <v>45063</v>
      </c>
    </row>
    <row r="795" spans="2:5" x14ac:dyDescent="0.3">
      <c r="B795" s="22">
        <v>151.29400000000001</v>
      </c>
      <c r="C795" s="22"/>
      <c r="D795" s="22"/>
      <c r="E795" s="33">
        <v>45064</v>
      </c>
    </row>
    <row r="796" spans="2:5" x14ac:dyDescent="0.3">
      <c r="B796" s="22">
        <v>151.74700000000001</v>
      </c>
      <c r="C796" s="22"/>
      <c r="D796" s="22"/>
      <c r="E796" s="33">
        <v>45065</v>
      </c>
    </row>
    <row r="797" spans="2:5" x14ac:dyDescent="0.3">
      <c r="B797" s="22">
        <v>152.35300000000001</v>
      </c>
      <c r="C797" s="22"/>
      <c r="D797" s="22"/>
      <c r="E797" s="33">
        <v>45068</v>
      </c>
    </row>
    <row r="798" spans="2:5" x14ac:dyDescent="0.3">
      <c r="B798" s="22">
        <v>152.46199999999999</v>
      </c>
      <c r="C798" s="22"/>
      <c r="D798" s="22"/>
      <c r="E798" s="33">
        <v>45069</v>
      </c>
    </row>
    <row r="799" spans="2:5" x14ac:dyDescent="0.3">
      <c r="B799" s="22">
        <v>152.23400000000001</v>
      </c>
      <c r="C799" s="22"/>
      <c r="D799" s="22"/>
      <c r="E799" s="33">
        <v>45070</v>
      </c>
    </row>
    <row r="800" spans="2:5" x14ac:dyDescent="0.3">
      <c r="B800" s="22">
        <v>152.43600000000001</v>
      </c>
      <c r="C800" s="22"/>
      <c r="D800" s="22"/>
      <c r="E800" s="33">
        <v>45071</v>
      </c>
    </row>
    <row r="801" spans="2:5" x14ac:dyDescent="0.3">
      <c r="B801" s="22">
        <v>153.191</v>
      </c>
      <c r="C801" s="22"/>
      <c r="D801" s="22"/>
      <c r="E801" s="33">
        <v>45072</v>
      </c>
    </row>
    <row r="802" spans="2:5" x14ac:dyDescent="0.3">
      <c r="B802" s="22">
        <v>153.655</v>
      </c>
      <c r="C802" s="22"/>
      <c r="D802" s="22"/>
      <c r="E802" s="33">
        <v>45075</v>
      </c>
    </row>
    <row r="803" spans="2:5" x14ac:dyDescent="0.3">
      <c r="B803" s="22">
        <v>153.959</v>
      </c>
      <c r="C803" s="22"/>
      <c r="D803" s="22"/>
      <c r="E803" s="33">
        <v>45076</v>
      </c>
    </row>
    <row r="804" spans="2:5" x14ac:dyDescent="0.3">
      <c r="B804" s="22">
        <v>154.00399999999999</v>
      </c>
      <c r="C804" s="22"/>
      <c r="D804" s="22"/>
      <c r="E804" s="33">
        <v>45077</v>
      </c>
    </row>
    <row r="805" spans="2:5" x14ac:dyDescent="0.3">
      <c r="B805" s="22">
        <v>153.84200000000001</v>
      </c>
      <c r="C805" s="22"/>
      <c r="D805" s="22"/>
      <c r="E805" s="33">
        <v>45078</v>
      </c>
    </row>
    <row r="806" spans="2:5" x14ac:dyDescent="0.3">
      <c r="B806" s="22">
        <v>154.55500000000001</v>
      </c>
      <c r="C806" s="22"/>
      <c r="D806" s="22"/>
      <c r="E806" s="33">
        <v>45079</v>
      </c>
    </row>
    <row r="807" spans="2:5" x14ac:dyDescent="0.3">
      <c r="B807" s="22">
        <v>155.71700000000001</v>
      </c>
      <c r="C807" s="22"/>
      <c r="D807" s="22"/>
      <c r="E807" s="33">
        <v>45082</v>
      </c>
    </row>
    <row r="808" spans="2:5" x14ac:dyDescent="0.3">
      <c r="B808" s="22">
        <v>156.01</v>
      </c>
      <c r="C808" s="22"/>
      <c r="D808" s="22"/>
      <c r="E808" s="33">
        <v>45083</v>
      </c>
    </row>
    <row r="809" spans="2:5" x14ac:dyDescent="0.3">
      <c r="B809" s="22">
        <v>156.87799999999999</v>
      </c>
      <c r="C809" s="22"/>
      <c r="D809" s="22"/>
      <c r="E809" s="33">
        <v>45084</v>
      </c>
    </row>
    <row r="810" spans="2:5" x14ac:dyDescent="0.3">
      <c r="B810" s="22">
        <v>156.494</v>
      </c>
      <c r="C810" s="22"/>
      <c r="D810" s="22"/>
      <c r="E810" s="33">
        <v>45085</v>
      </c>
    </row>
    <row r="811" spans="2:5" x14ac:dyDescent="0.3">
      <c r="B811" s="22">
        <v>156.57300000000001</v>
      </c>
      <c r="C811" s="22"/>
      <c r="D811" s="22"/>
      <c r="E811" s="33">
        <v>45086</v>
      </c>
    </row>
    <row r="812" spans="2:5" x14ac:dyDescent="0.3">
      <c r="B812" s="22">
        <v>157.27199999999999</v>
      </c>
      <c r="C812" s="22"/>
      <c r="D812" s="22"/>
      <c r="E812" s="33">
        <v>45089</v>
      </c>
    </row>
    <row r="813" spans="2:5" x14ac:dyDescent="0.3">
      <c r="B813" s="22">
        <v>157.57599999999999</v>
      </c>
      <c r="C813" s="22"/>
      <c r="D813" s="22"/>
      <c r="E813" s="33">
        <v>45090</v>
      </c>
    </row>
    <row r="814" spans="2:5" x14ac:dyDescent="0.3">
      <c r="B814" s="22">
        <v>157.88200000000001</v>
      </c>
      <c r="C814" s="22"/>
      <c r="D814" s="22"/>
      <c r="E814" s="33">
        <v>45091</v>
      </c>
    </row>
    <row r="815" spans="2:5" x14ac:dyDescent="0.3">
      <c r="B815" s="22">
        <v>157.48099999999999</v>
      </c>
      <c r="C815" s="22"/>
      <c r="D815" s="22"/>
      <c r="E815" s="33">
        <v>45092</v>
      </c>
    </row>
    <row r="816" spans="2:5" x14ac:dyDescent="0.3">
      <c r="B816" s="22">
        <v>158.77099999999999</v>
      </c>
      <c r="C816" s="22"/>
      <c r="D816" s="22"/>
      <c r="E816" s="33">
        <v>45093</v>
      </c>
    </row>
    <row r="817" spans="2:5" x14ac:dyDescent="0.3">
      <c r="B817" s="22">
        <v>158.46199999999999</v>
      </c>
      <c r="C817" s="22"/>
      <c r="D817" s="22"/>
      <c r="E817" s="33">
        <v>45096</v>
      </c>
    </row>
    <row r="818" spans="2:5" x14ac:dyDescent="0.3">
      <c r="B818" s="22">
        <v>158.85</v>
      </c>
      <c r="C818" s="22"/>
      <c r="D818" s="22"/>
      <c r="E818" s="33">
        <v>45097</v>
      </c>
    </row>
    <row r="819" spans="2:5" x14ac:dyDescent="0.3">
      <c r="B819" s="22">
        <v>158.97399999999999</v>
      </c>
      <c r="C819" s="22"/>
      <c r="D819" s="22"/>
      <c r="E819" s="33">
        <v>45098</v>
      </c>
    </row>
    <row r="820" spans="2:5" x14ac:dyDescent="0.3">
      <c r="B820" s="22">
        <v>158.39699999999999</v>
      </c>
      <c r="C820" s="22"/>
      <c r="D820" s="22"/>
      <c r="E820" s="33">
        <v>45099</v>
      </c>
    </row>
    <row r="821" spans="2:5" x14ac:dyDescent="0.3">
      <c r="B821" s="22">
        <v>157.554</v>
      </c>
      <c r="C821" s="22"/>
      <c r="D821" s="22"/>
      <c r="E821" s="33">
        <v>45100</v>
      </c>
    </row>
    <row r="822" spans="2:5" x14ac:dyDescent="0.3">
      <c r="B822" s="22">
        <v>157.965</v>
      </c>
      <c r="C822" s="22"/>
      <c r="D822" s="22"/>
      <c r="E822" s="33">
        <v>45103</v>
      </c>
    </row>
    <row r="823" spans="2:5" x14ac:dyDescent="0.3">
      <c r="B823" s="22">
        <v>158.83600000000001</v>
      </c>
      <c r="C823" s="22"/>
      <c r="D823" s="22"/>
      <c r="E823" s="33">
        <v>45104</v>
      </c>
    </row>
    <row r="824" spans="2:5" x14ac:dyDescent="0.3">
      <c r="B824" s="22">
        <v>159.51599999999999</v>
      </c>
      <c r="C824" s="22"/>
      <c r="D824" s="22"/>
      <c r="E824" s="33">
        <v>45105</v>
      </c>
    </row>
    <row r="825" spans="2:5" x14ac:dyDescent="0.3">
      <c r="B825" s="22">
        <v>161.04</v>
      </c>
      <c r="C825" s="22"/>
      <c r="D825" s="22"/>
      <c r="E825" s="33">
        <v>45107</v>
      </c>
    </row>
    <row r="826" spans="2:5" x14ac:dyDescent="0.3">
      <c r="B826" s="22">
        <v>161.51300000000001</v>
      </c>
      <c r="C826" s="22"/>
      <c r="D826" s="22"/>
      <c r="E826" s="33">
        <v>45110</v>
      </c>
    </row>
    <row r="827" spans="2:5" x14ac:dyDescent="0.3">
      <c r="B827" s="22">
        <v>161.77099999999999</v>
      </c>
      <c r="C827" s="22"/>
      <c r="D827" s="22"/>
      <c r="E827" s="33">
        <v>45111</v>
      </c>
    </row>
    <row r="828" spans="2:5" x14ac:dyDescent="0.3">
      <c r="B828" s="22">
        <v>162.10900000000001</v>
      </c>
      <c r="C828" s="22"/>
      <c r="D828" s="22"/>
      <c r="E828" s="33">
        <v>45112</v>
      </c>
    </row>
    <row r="829" spans="2:5" x14ac:dyDescent="0.3">
      <c r="B829" s="22">
        <v>163.22</v>
      </c>
      <c r="C829" s="22"/>
      <c r="D829" s="22"/>
      <c r="E829" s="33">
        <v>45113</v>
      </c>
    </row>
    <row r="830" spans="2:5" x14ac:dyDescent="0.3">
      <c r="B830" s="22">
        <v>162.39599999999999</v>
      </c>
      <c r="C830" s="22"/>
      <c r="D830" s="22"/>
      <c r="E830" s="33">
        <v>45114</v>
      </c>
    </row>
    <row r="831" spans="2:5" x14ac:dyDescent="0.3">
      <c r="B831" s="22">
        <v>161.98699999999999</v>
      </c>
      <c r="C831" s="22"/>
      <c r="D831" s="22"/>
      <c r="E831" s="33">
        <v>45117</v>
      </c>
    </row>
    <row r="832" spans="2:5" x14ac:dyDescent="0.3">
      <c r="B832" s="22">
        <v>162.804</v>
      </c>
      <c r="C832" s="22"/>
      <c r="D832" s="22"/>
      <c r="E832" s="33">
        <v>45118</v>
      </c>
    </row>
    <row r="833" spans="2:5" x14ac:dyDescent="0.3">
      <c r="B833" s="22">
        <v>162.488</v>
      </c>
      <c r="C833" s="22"/>
      <c r="D833" s="22"/>
      <c r="E833" s="33">
        <v>45119</v>
      </c>
    </row>
    <row r="834" spans="2:5" x14ac:dyDescent="0.3">
      <c r="B834" s="22">
        <v>162.41300000000001</v>
      </c>
      <c r="C834" s="22"/>
      <c r="D834" s="22"/>
      <c r="E834" s="33">
        <v>45120</v>
      </c>
    </row>
    <row r="835" spans="2:5" x14ac:dyDescent="0.3">
      <c r="B835" s="22">
        <v>163.39500000000001</v>
      </c>
      <c r="C835" s="22"/>
      <c r="D835" s="22"/>
      <c r="E835" s="33">
        <v>45121</v>
      </c>
    </row>
    <row r="836" spans="2:5" x14ac:dyDescent="0.3">
      <c r="B836" s="22">
        <v>164.102</v>
      </c>
      <c r="C836" s="22"/>
      <c r="D836" s="22"/>
      <c r="E836" s="33">
        <v>45124</v>
      </c>
    </row>
    <row r="837" spans="2:5" x14ac:dyDescent="0.3">
      <c r="B837" s="22">
        <v>164.32900000000001</v>
      </c>
      <c r="C837" s="22"/>
      <c r="D837" s="22"/>
      <c r="E837" s="33">
        <v>45125</v>
      </c>
    </row>
    <row r="838" spans="2:5" x14ac:dyDescent="0.3">
      <c r="B838" s="22">
        <v>164.822</v>
      </c>
      <c r="C838" s="22"/>
      <c r="D838" s="22"/>
      <c r="E838" s="33">
        <v>45126</v>
      </c>
    </row>
    <row r="839" spans="2:5" x14ac:dyDescent="0.3">
      <c r="B839" s="22">
        <v>165.596</v>
      </c>
      <c r="C839" s="22"/>
      <c r="D839" s="22"/>
      <c r="E839" s="33">
        <v>45127</v>
      </c>
    </row>
    <row r="840" spans="2:5" x14ac:dyDescent="0.3">
      <c r="B840" s="22">
        <v>164.578</v>
      </c>
      <c r="C840" s="22"/>
      <c r="D840" s="22"/>
      <c r="E840" s="33">
        <v>45128</v>
      </c>
    </row>
    <row r="841" spans="2:5" x14ac:dyDescent="0.3">
      <c r="B841" s="22">
        <v>165.12799999999999</v>
      </c>
      <c r="C841" s="22"/>
      <c r="D841" s="22"/>
      <c r="E841" s="33">
        <v>45131</v>
      </c>
    </row>
    <row r="842" spans="2:5" x14ac:dyDescent="0.3">
      <c r="B842" s="22">
        <v>165.40899999999999</v>
      </c>
      <c r="C842" s="22"/>
      <c r="D842" s="22"/>
      <c r="E842" s="33">
        <v>45132</v>
      </c>
    </row>
    <row r="843" spans="2:5" x14ac:dyDescent="0.3">
      <c r="B843" s="22">
        <v>165.75200000000001</v>
      </c>
      <c r="C843" s="22"/>
      <c r="D843" s="22"/>
      <c r="E843" s="33">
        <v>45133</v>
      </c>
    </row>
    <row r="844" spans="2:5" x14ac:dyDescent="0.3">
      <c r="B844" s="22">
        <v>165.78299999999999</v>
      </c>
      <c r="C844" s="22"/>
      <c r="D844" s="22"/>
      <c r="E844" s="33">
        <v>45134</v>
      </c>
    </row>
    <row r="845" spans="2:5" x14ac:dyDescent="0.3">
      <c r="B845" s="22">
        <v>166.578</v>
      </c>
      <c r="C845" s="22"/>
      <c r="D845" s="22"/>
      <c r="E845" s="33">
        <v>45135</v>
      </c>
    </row>
    <row r="846" spans="2:5" x14ac:dyDescent="0.3">
      <c r="B846" s="22">
        <v>167.36799999999999</v>
      </c>
      <c r="C846" s="22"/>
      <c r="D846" s="22"/>
      <c r="E846" s="33">
        <v>45138</v>
      </c>
    </row>
    <row r="847" spans="2:5" x14ac:dyDescent="0.3">
      <c r="B847" s="22">
        <v>167.70099999999999</v>
      </c>
      <c r="C847" s="22"/>
      <c r="D847" s="22"/>
      <c r="E847" s="33">
        <v>45139</v>
      </c>
    </row>
    <row r="848" spans="2:5" x14ac:dyDescent="0.3">
      <c r="B848" s="22">
        <v>165.88</v>
      </c>
      <c r="C848" s="22"/>
      <c r="D848" s="22"/>
      <c r="E848" s="33">
        <v>45140</v>
      </c>
    </row>
    <row r="849" spans="2:5" x14ac:dyDescent="0.3">
      <c r="B849" s="22">
        <v>165.01599999999999</v>
      </c>
      <c r="C849" s="22"/>
      <c r="D849" s="22"/>
      <c r="E849" s="33">
        <v>45141</v>
      </c>
    </row>
    <row r="850" spans="2:5" x14ac:dyDescent="0.3">
      <c r="B850" s="22">
        <v>165.922</v>
      </c>
      <c r="C850" s="22"/>
      <c r="D850" s="22"/>
      <c r="E850" s="33">
        <v>45142</v>
      </c>
    </row>
    <row r="851" spans="2:5" x14ac:dyDescent="0.3">
      <c r="B851" s="22">
        <v>166.68700000000001</v>
      </c>
      <c r="C851" s="22"/>
      <c r="D851" s="22"/>
      <c r="E851" s="33">
        <v>45145</v>
      </c>
    </row>
    <row r="852" spans="2:5" x14ac:dyDescent="0.3">
      <c r="B852" s="22">
        <v>167.494</v>
      </c>
      <c r="C852" s="22"/>
      <c r="D852" s="22"/>
      <c r="E852" s="33">
        <v>45146</v>
      </c>
    </row>
    <row r="853" spans="2:5" x14ac:dyDescent="0.3">
      <c r="B853" s="22">
        <v>167.97399999999999</v>
      </c>
      <c r="C853" s="22"/>
      <c r="D853" s="22"/>
      <c r="E853" s="33">
        <v>45147</v>
      </c>
    </row>
    <row r="854" spans="2:5" x14ac:dyDescent="0.3">
      <c r="B854" s="22">
        <v>167.102</v>
      </c>
      <c r="C854" s="22"/>
      <c r="D854" s="22"/>
      <c r="E854" s="33">
        <v>45148</v>
      </c>
    </row>
    <row r="855" spans="2:5" x14ac:dyDescent="0.3">
      <c r="B855" s="22">
        <v>166.65899999999999</v>
      </c>
      <c r="C855" s="22"/>
      <c r="D855" s="22"/>
      <c r="E855" s="33">
        <v>45149</v>
      </c>
    </row>
    <row r="856" spans="2:5" x14ac:dyDescent="0.3">
      <c r="B856" s="22">
        <v>166.42599999999999</v>
      </c>
      <c r="C856" s="22"/>
      <c r="D856" s="22"/>
      <c r="E856" s="33">
        <v>45152</v>
      </c>
    </row>
    <row r="857" spans="2:5" x14ac:dyDescent="0.3">
      <c r="B857" s="22">
        <v>166.99799999999999</v>
      </c>
      <c r="C857" s="22"/>
      <c r="D857" s="22"/>
      <c r="E857" s="33">
        <v>45154</v>
      </c>
    </row>
    <row r="858" spans="2:5" x14ac:dyDescent="0.3">
      <c r="B858" s="22">
        <v>166.846</v>
      </c>
      <c r="C858" s="22"/>
      <c r="D858" s="22"/>
      <c r="E858" s="33">
        <v>45155</v>
      </c>
    </row>
    <row r="859" spans="2:5" x14ac:dyDescent="0.3">
      <c r="B859" s="22">
        <v>166.411</v>
      </c>
      <c r="C859" s="22"/>
      <c r="D859" s="22"/>
      <c r="E859" s="33">
        <v>45156</v>
      </c>
    </row>
    <row r="860" spans="2:5" x14ac:dyDescent="0.3">
      <c r="B860" s="22">
        <v>166.94900000000001</v>
      </c>
      <c r="C860" s="22"/>
      <c r="D860" s="22"/>
      <c r="E860" s="33">
        <v>45159</v>
      </c>
    </row>
    <row r="861" spans="2:5" x14ac:dyDescent="0.3">
      <c r="B861" s="22">
        <v>167.07</v>
      </c>
      <c r="C861" s="22"/>
      <c r="D861" s="22"/>
      <c r="E861" s="33">
        <v>45160</v>
      </c>
    </row>
    <row r="862" spans="2:5" x14ac:dyDescent="0.3">
      <c r="B862" s="22">
        <v>167.99199999999999</v>
      </c>
      <c r="C862" s="22"/>
      <c r="D862" s="22"/>
      <c r="E862" s="33">
        <v>45161</v>
      </c>
    </row>
    <row r="863" spans="2:5" x14ac:dyDescent="0.3">
      <c r="B863" s="22">
        <v>168.059</v>
      </c>
      <c r="C863" s="22"/>
      <c r="D863" s="22"/>
      <c r="E863" s="33">
        <v>45162</v>
      </c>
    </row>
    <row r="864" spans="2:5" x14ac:dyDescent="0.3">
      <c r="B864" s="22">
        <v>167.07300000000001</v>
      </c>
      <c r="C864" s="22"/>
      <c r="D864" s="22"/>
      <c r="E864" s="33">
        <v>45163</v>
      </c>
    </row>
    <row r="865" spans="2:5" x14ac:dyDescent="0.3">
      <c r="B865" s="22">
        <v>167.52500000000001</v>
      </c>
      <c r="C865" s="22"/>
      <c r="D865" s="22"/>
      <c r="E865" s="33">
        <v>45166</v>
      </c>
    </row>
    <row r="866" spans="2:5" x14ac:dyDescent="0.3">
      <c r="B866" s="22">
        <v>168.01300000000001</v>
      </c>
      <c r="C866" s="22"/>
      <c r="D866" s="22"/>
      <c r="E866" s="33">
        <v>45167</v>
      </c>
    </row>
    <row r="867" spans="2:5" x14ac:dyDescent="0.3">
      <c r="B867" s="22">
        <v>168.44499999999999</v>
      </c>
      <c r="C867" s="22"/>
      <c r="D867" s="22"/>
      <c r="E867" s="33">
        <v>45168</v>
      </c>
    </row>
    <row r="868" spans="2:5" x14ac:dyDescent="0.3">
      <c r="B868" s="22">
        <v>168.29599999999999</v>
      </c>
      <c r="C868" s="22"/>
      <c r="D868" s="22"/>
      <c r="E868" s="33">
        <v>45169</v>
      </c>
    </row>
    <row r="869" spans="2:5" x14ac:dyDescent="0.3">
      <c r="B869" s="22">
        <v>169.94399999999999</v>
      </c>
      <c r="C869" s="22"/>
      <c r="D869" s="22"/>
      <c r="E869" s="33">
        <v>45170</v>
      </c>
    </row>
    <row r="870" spans="2:5" x14ac:dyDescent="0.3">
      <c r="B870" s="22">
        <v>170.63800000000001</v>
      </c>
      <c r="C870" s="22"/>
      <c r="D870" s="22"/>
      <c r="E870" s="33">
        <v>45173</v>
      </c>
    </row>
    <row r="871" spans="2:5" x14ac:dyDescent="0.3">
      <c r="B871" s="22">
        <v>170.65799999999999</v>
      </c>
      <c r="C871" s="22"/>
      <c r="D871" s="22"/>
      <c r="E871" s="33">
        <v>45174</v>
      </c>
    </row>
    <row r="872" spans="2:5" x14ac:dyDescent="0.3">
      <c r="B872" s="22">
        <v>170.994</v>
      </c>
      <c r="C872" s="22"/>
      <c r="D872" s="22"/>
      <c r="E872" s="33">
        <v>45175</v>
      </c>
    </row>
    <row r="873" spans="2:5" x14ac:dyDescent="0.3">
      <c r="B873" s="22">
        <v>171.80600000000001</v>
      </c>
      <c r="C873" s="22"/>
      <c r="D873" s="22"/>
      <c r="E873" s="33">
        <v>45176</v>
      </c>
    </row>
    <row r="874" spans="2:5" x14ac:dyDescent="0.3">
      <c r="B874" s="22">
        <v>172.85599999999999</v>
      </c>
      <c r="C874" s="22"/>
      <c r="D874" s="22"/>
      <c r="E874" s="33">
        <v>45177</v>
      </c>
    </row>
    <row r="875" spans="2:5" x14ac:dyDescent="0.3">
      <c r="B875" s="22">
        <v>173.845</v>
      </c>
      <c r="C875" s="22"/>
      <c r="D875" s="22"/>
      <c r="E875" s="33">
        <v>45180</v>
      </c>
    </row>
    <row r="876" spans="2:5" x14ac:dyDescent="0.3">
      <c r="B876" s="22">
        <v>172.67</v>
      </c>
      <c r="C876" s="22"/>
      <c r="D876" s="22"/>
      <c r="E876" s="33">
        <v>45181</v>
      </c>
    </row>
    <row r="877" spans="2:5" x14ac:dyDescent="0.3">
      <c r="B877" s="22">
        <v>173.41</v>
      </c>
      <c r="C877" s="22"/>
      <c r="D877" s="22"/>
      <c r="E877" s="33">
        <v>45182</v>
      </c>
    </row>
    <row r="878" spans="2:5" x14ac:dyDescent="0.3">
      <c r="B878" s="22">
        <v>173.98599999999999</v>
      </c>
      <c r="C878" s="22"/>
      <c r="D878" s="22"/>
      <c r="E878" s="33">
        <v>45183</v>
      </c>
    </row>
    <row r="879" spans="2:5" x14ac:dyDescent="0.3">
      <c r="B879" s="22">
        <v>175.17</v>
      </c>
      <c r="C879" s="22"/>
      <c r="D879" s="22"/>
      <c r="E879" s="33">
        <v>45184</v>
      </c>
    </row>
    <row r="880" spans="2:5" x14ac:dyDescent="0.3">
      <c r="B880" s="22">
        <v>174.994</v>
      </c>
      <c r="C880" s="22"/>
      <c r="D880" s="22"/>
      <c r="E880" s="33">
        <v>45187</v>
      </c>
    </row>
    <row r="881" spans="2:5" x14ac:dyDescent="0.3">
      <c r="B881" s="22">
        <v>173.346</v>
      </c>
      <c r="C881" s="22"/>
      <c r="D881" s="22"/>
      <c r="E881" s="33">
        <v>45189</v>
      </c>
    </row>
    <row r="882" spans="2:5" x14ac:dyDescent="0.3">
      <c r="B882" s="22">
        <v>171.69900000000001</v>
      </c>
      <c r="C882" s="22"/>
      <c r="D882" s="22"/>
      <c r="E882" s="33">
        <v>45190</v>
      </c>
    </row>
    <row r="883" spans="2:5" x14ac:dyDescent="0.3">
      <c r="B883" s="22">
        <v>171.01900000000001</v>
      </c>
      <c r="C883" s="22"/>
      <c r="D883" s="22"/>
      <c r="E883" s="33">
        <v>45191</v>
      </c>
    </row>
    <row r="884" spans="2:5" x14ac:dyDescent="0.3">
      <c r="B884" s="22">
        <v>170.97900000000001</v>
      </c>
      <c r="C884" s="22"/>
      <c r="D884" s="22"/>
      <c r="E884" s="33">
        <v>45194</v>
      </c>
    </row>
    <row r="885" spans="2:5" x14ac:dyDescent="0.3">
      <c r="B885" s="22">
        <v>170.648</v>
      </c>
      <c r="C885" s="22"/>
      <c r="D885" s="22"/>
      <c r="E885" s="33">
        <v>45195</v>
      </c>
    </row>
    <row r="886" spans="2:5" x14ac:dyDescent="0.3">
      <c r="B886" s="22">
        <v>170.874</v>
      </c>
      <c r="C886" s="22"/>
      <c r="D886" s="22"/>
      <c r="E886" s="33">
        <v>45196</v>
      </c>
    </row>
    <row r="887" spans="2:5" x14ac:dyDescent="0.3">
      <c r="B887" s="22">
        <v>171.01300000000001</v>
      </c>
      <c r="C887" s="22"/>
      <c r="D887" s="22"/>
      <c r="E887" s="33">
        <v>45198</v>
      </c>
    </row>
    <row r="888" spans="2:5" x14ac:dyDescent="0.3">
      <c r="B888" s="22">
        <v>170.40100000000001</v>
      </c>
      <c r="C888" s="22"/>
      <c r="D888" s="22"/>
      <c r="E888" s="33">
        <v>45202</v>
      </c>
    </row>
    <row r="889" spans="2:5" x14ac:dyDescent="0.3">
      <c r="B889" s="22">
        <v>169.25899999999999</v>
      </c>
      <c r="C889" s="22"/>
      <c r="D889" s="22"/>
      <c r="E889" s="33">
        <v>45203</v>
      </c>
    </row>
    <row r="890" spans="2:5" x14ac:dyDescent="0.3">
      <c r="B890" s="22">
        <v>170.19399999999999</v>
      </c>
      <c r="C890" s="22"/>
      <c r="D890" s="22"/>
      <c r="E890" s="33">
        <v>45204</v>
      </c>
    </row>
    <row r="891" spans="2:5" x14ac:dyDescent="0.3">
      <c r="B891" s="22">
        <v>170.636</v>
      </c>
      <c r="C891" s="22"/>
      <c r="D891" s="22"/>
      <c r="E891" s="33">
        <v>45205</v>
      </c>
    </row>
    <row r="892" spans="2:5" x14ac:dyDescent="0.3">
      <c r="B892" s="22">
        <v>169.761</v>
      </c>
      <c r="C892" s="22"/>
      <c r="D892" s="22"/>
      <c r="E892" s="33">
        <v>45208</v>
      </c>
    </row>
    <row r="893" spans="2:5" x14ac:dyDescent="0.3">
      <c r="B893" s="22">
        <v>171.768</v>
      </c>
      <c r="C893" s="22"/>
      <c r="D893" s="22"/>
      <c r="E893" s="33">
        <v>45209</v>
      </c>
    </row>
    <row r="894" spans="2:5" x14ac:dyDescent="0.3">
      <c r="B894" s="22">
        <v>172.28399999999999</v>
      </c>
      <c r="C894" s="22"/>
      <c r="D894" s="22"/>
      <c r="E894" s="33">
        <v>45210</v>
      </c>
    </row>
    <row r="895" spans="2:5" x14ac:dyDescent="0.3">
      <c r="B895" s="22">
        <v>172.226</v>
      </c>
      <c r="C895" s="22"/>
      <c r="D895" s="22"/>
      <c r="E895" s="33">
        <v>45211</v>
      </c>
    </row>
    <row r="896" spans="2:5" x14ac:dyDescent="0.3">
      <c r="B896" s="22">
        <v>171.76300000000001</v>
      </c>
      <c r="C896" s="22"/>
      <c r="D896" s="22"/>
      <c r="E896" s="33">
        <v>45212</v>
      </c>
    </row>
    <row r="897" spans="2:5" x14ac:dyDescent="0.3">
      <c r="B897" s="22">
        <v>172.108</v>
      </c>
      <c r="C897" s="22"/>
      <c r="D897" s="22"/>
      <c r="E897" s="33">
        <v>45215</v>
      </c>
    </row>
    <row r="898" spans="2:5" x14ac:dyDescent="0.3">
      <c r="B898" s="22">
        <v>172.833</v>
      </c>
      <c r="C898" s="22"/>
      <c r="D898" s="22"/>
      <c r="E898" s="33">
        <v>45216</v>
      </c>
    </row>
    <row r="899" spans="2:5" x14ac:dyDescent="0.3">
      <c r="B899" s="22">
        <v>172.37899999999999</v>
      </c>
      <c r="C899" s="22"/>
      <c r="D899" s="22"/>
      <c r="E899" s="33">
        <v>45217</v>
      </c>
    </row>
    <row r="900" spans="2:5" x14ac:dyDescent="0.3">
      <c r="B900" s="22">
        <v>172.07900000000001</v>
      </c>
      <c r="C900" s="22"/>
      <c r="D900" s="22"/>
      <c r="E900" s="33">
        <v>45218</v>
      </c>
    </row>
    <row r="901" spans="2:5" x14ac:dyDescent="0.3">
      <c r="B901" s="22">
        <v>171.52099999999999</v>
      </c>
      <c r="C901" s="22"/>
      <c r="D901" s="22"/>
      <c r="E901" s="33">
        <v>45219</v>
      </c>
    </row>
    <row r="902" spans="2:5" x14ac:dyDescent="0.3">
      <c r="B902" s="22">
        <v>169.595</v>
      </c>
      <c r="C902" s="22"/>
      <c r="D902" s="22"/>
      <c r="E902" s="33">
        <v>45222</v>
      </c>
    </row>
    <row r="903" spans="2:5" x14ac:dyDescent="0.3">
      <c r="B903" s="22">
        <v>168.14400000000001</v>
      </c>
      <c r="C903" s="22"/>
      <c r="D903" s="22"/>
      <c r="E903" s="33">
        <v>45224</v>
      </c>
    </row>
    <row r="904" spans="2:5" x14ac:dyDescent="0.3">
      <c r="B904" s="22">
        <v>166.75399999999999</v>
      </c>
      <c r="C904" s="22"/>
      <c r="D904" s="22"/>
      <c r="E904" s="33">
        <v>45225</v>
      </c>
    </row>
    <row r="905" spans="2:5" x14ac:dyDescent="0.3">
      <c r="B905" s="22">
        <v>168.51499999999999</v>
      </c>
      <c r="C905" s="22"/>
      <c r="D905" s="22"/>
      <c r="E905" s="33">
        <v>45226</v>
      </c>
    </row>
    <row r="906" spans="2:5" x14ac:dyDescent="0.3">
      <c r="B906" s="22">
        <v>168.93899999999999</v>
      </c>
      <c r="C906" s="22"/>
      <c r="D906" s="22"/>
      <c r="E906" s="33">
        <v>45229</v>
      </c>
    </row>
    <row r="907" spans="2:5" x14ac:dyDescent="0.3">
      <c r="B907" s="22">
        <v>168.86600000000001</v>
      </c>
      <c r="C907" s="22"/>
      <c r="D907" s="22"/>
      <c r="E907" s="33">
        <v>45230</v>
      </c>
    </row>
    <row r="908" spans="2:5" x14ac:dyDescent="0.3">
      <c r="B908" s="22">
        <v>168.10499999999999</v>
      </c>
      <c r="C908" s="22"/>
      <c r="D908" s="22"/>
      <c r="E908" s="33">
        <v>45231</v>
      </c>
    </row>
    <row r="909" spans="2:5" x14ac:dyDescent="0.3">
      <c r="B909" s="22">
        <v>169.18299999999999</v>
      </c>
      <c r="C909" s="22"/>
      <c r="D909" s="22"/>
      <c r="E909" s="33">
        <v>45232</v>
      </c>
    </row>
    <row r="910" spans="2:5" x14ac:dyDescent="0.3">
      <c r="B910" s="22">
        <v>170.53200000000001</v>
      </c>
      <c r="C910" s="22"/>
      <c r="D910" s="22"/>
      <c r="E910" s="33">
        <v>45233</v>
      </c>
    </row>
    <row r="911" spans="2:5" x14ac:dyDescent="0.3">
      <c r="B911" s="22">
        <v>171.583</v>
      </c>
      <c r="C911" s="22"/>
      <c r="D911" s="22"/>
      <c r="E911" s="33">
        <v>45236</v>
      </c>
    </row>
    <row r="912" spans="2:5" x14ac:dyDescent="0.3">
      <c r="B912" s="22">
        <v>172.24600000000001</v>
      </c>
      <c r="C912" s="22"/>
      <c r="D912" s="22"/>
      <c r="E912" s="33">
        <v>45237</v>
      </c>
    </row>
    <row r="913" spans="2:5" x14ac:dyDescent="0.3">
      <c r="B913" s="22">
        <v>172.53700000000001</v>
      </c>
      <c r="C913" s="22"/>
      <c r="D913" s="22"/>
      <c r="E913" s="33">
        <v>45238</v>
      </c>
    </row>
    <row r="914" spans="2:5" x14ac:dyDescent="0.3">
      <c r="B914" s="22">
        <v>173.14</v>
      </c>
      <c r="C914" s="22"/>
      <c r="D914" s="22"/>
      <c r="E914" s="33">
        <v>45239</v>
      </c>
    </row>
    <row r="915" spans="2:5" x14ac:dyDescent="0.3">
      <c r="B915" s="22">
        <v>173.67500000000001</v>
      </c>
      <c r="C915" s="22"/>
      <c r="D915" s="22"/>
      <c r="E915" s="33">
        <v>45240</v>
      </c>
    </row>
    <row r="916" spans="2:5" x14ac:dyDescent="0.3">
      <c r="B916" s="22">
        <v>173.43600000000001</v>
      </c>
      <c r="C916" s="22"/>
      <c r="D916" s="22"/>
      <c r="E916" s="33">
        <v>45243</v>
      </c>
    </row>
    <row r="917" spans="2:5" x14ac:dyDescent="0.3">
      <c r="B917" s="22">
        <v>175.06200000000001</v>
      </c>
      <c r="C917" s="22"/>
      <c r="D917" s="22"/>
      <c r="E917" s="33">
        <v>45245</v>
      </c>
    </row>
    <row r="918" spans="2:5" x14ac:dyDescent="0.3">
      <c r="B918" s="22">
        <v>176.376</v>
      </c>
      <c r="C918" s="22"/>
      <c r="D918" s="22"/>
      <c r="E918" s="33">
        <v>45246</v>
      </c>
    </row>
    <row r="919" spans="2:5" x14ac:dyDescent="0.3">
      <c r="B919" s="22">
        <v>176.12899999999999</v>
      </c>
      <c r="C919" s="22"/>
      <c r="D919" s="22"/>
      <c r="E919" s="33">
        <v>45247</v>
      </c>
    </row>
    <row r="920" spans="2:5" x14ac:dyDescent="0.3">
      <c r="B920" s="22">
        <v>176.33</v>
      </c>
      <c r="C920" s="22"/>
      <c r="D920" s="22"/>
      <c r="E920" s="33">
        <v>45250</v>
      </c>
    </row>
    <row r="921" spans="2:5" x14ac:dyDescent="0.3">
      <c r="B921" s="22">
        <v>176.91900000000001</v>
      </c>
      <c r="C921" s="22"/>
      <c r="D921" s="22"/>
      <c r="E921" s="33">
        <v>45251</v>
      </c>
    </row>
    <row r="922" spans="2:5" x14ac:dyDescent="0.3">
      <c r="B922" s="22">
        <v>176.88800000000001</v>
      </c>
      <c r="C922" s="22"/>
      <c r="D922" s="22"/>
      <c r="E922" s="33">
        <v>45252</v>
      </c>
    </row>
    <row r="923" spans="2:5" x14ac:dyDescent="0.3">
      <c r="B923" s="22">
        <v>176.66900000000001</v>
      </c>
      <c r="C923" s="22"/>
      <c r="D923" s="22"/>
      <c r="E923" s="33">
        <v>45253</v>
      </c>
    </row>
    <row r="924" spans="2:5" x14ac:dyDescent="0.3">
      <c r="B924" s="22">
        <v>177.30099999999999</v>
      </c>
      <c r="C924" s="22"/>
      <c r="D924" s="22"/>
      <c r="E924" s="33">
        <v>45254</v>
      </c>
    </row>
    <row r="925" spans="2:5" x14ac:dyDescent="0.3">
      <c r="B925" s="22">
        <v>177.97800000000001</v>
      </c>
      <c r="C925" s="22"/>
      <c r="D925" s="22"/>
      <c r="E925" s="33">
        <v>45258</v>
      </c>
    </row>
    <row r="926" spans="2:5" x14ac:dyDescent="0.3">
      <c r="B926" s="22">
        <v>179.77799999999999</v>
      </c>
      <c r="C926" s="22"/>
      <c r="D926" s="22"/>
      <c r="E926" s="33">
        <v>45259</v>
      </c>
    </row>
    <row r="927" spans="2:5" x14ac:dyDescent="0.3">
      <c r="B927" s="22">
        <v>181.10499999999999</v>
      </c>
      <c r="C927" s="22"/>
      <c r="D927" s="22"/>
      <c r="E927" s="33">
        <v>45260</v>
      </c>
    </row>
    <row r="928" spans="2:5" x14ac:dyDescent="0.3">
      <c r="B928" s="22">
        <v>182.30600000000001</v>
      </c>
      <c r="C928" s="22"/>
      <c r="D928" s="22"/>
      <c r="E928" s="33">
        <v>45261</v>
      </c>
    </row>
    <row r="929" spans="2:5" x14ac:dyDescent="0.3">
      <c r="B929" s="22">
        <v>185.82300000000001</v>
      </c>
      <c r="C929" s="22"/>
      <c r="D929" s="22"/>
      <c r="E929" s="33">
        <v>45264</v>
      </c>
    </row>
    <row r="930" spans="2:5" x14ac:dyDescent="0.3">
      <c r="B930" s="22">
        <v>187.03100000000001</v>
      </c>
      <c r="C930" s="22"/>
      <c r="D930" s="22"/>
      <c r="E930" s="33">
        <v>45265</v>
      </c>
    </row>
    <row r="931" spans="2:5" x14ac:dyDescent="0.3">
      <c r="B931" s="22">
        <v>186.81800000000001</v>
      </c>
      <c r="C931" s="22"/>
      <c r="D931" s="22"/>
      <c r="E931" s="33">
        <v>45266</v>
      </c>
    </row>
    <row r="932" spans="2:5" x14ac:dyDescent="0.3">
      <c r="B932" s="22">
        <v>187.33799999999999</v>
      </c>
      <c r="C932" s="22"/>
      <c r="D932" s="22"/>
      <c r="E932" s="33">
        <v>45267</v>
      </c>
    </row>
    <row r="933" spans="2:5" x14ac:dyDescent="0.3">
      <c r="B933" s="22">
        <v>188.715</v>
      </c>
      <c r="C933" s="22"/>
      <c r="D933" s="22"/>
      <c r="E933" s="33">
        <v>45268</v>
      </c>
    </row>
    <row r="934" spans="2:5" x14ac:dyDescent="0.3">
      <c r="B934" s="22">
        <v>189.12299999999999</v>
      </c>
      <c r="C934" s="22"/>
      <c r="D934" s="22"/>
      <c r="E934" s="33">
        <v>45271</v>
      </c>
    </row>
    <row r="935" spans="2:5" x14ac:dyDescent="0.3">
      <c r="B935" s="22">
        <v>188.10900000000001</v>
      </c>
      <c r="C935" s="22"/>
      <c r="D935" s="22"/>
      <c r="E935" s="33">
        <v>45272</v>
      </c>
    </row>
    <row r="936" spans="2:5" x14ac:dyDescent="0.3">
      <c r="B936" s="22">
        <v>189.16200000000001</v>
      </c>
      <c r="C936" s="22"/>
      <c r="D936" s="22"/>
      <c r="E936" s="33">
        <v>45273</v>
      </c>
    </row>
    <row r="937" spans="2:5" x14ac:dyDescent="0.3">
      <c r="B937" s="22">
        <v>190.76300000000001</v>
      </c>
      <c r="C937" s="22"/>
      <c r="D937" s="22"/>
      <c r="E937" s="33">
        <v>45274</v>
      </c>
    </row>
    <row r="938" spans="2:5" x14ac:dyDescent="0.3">
      <c r="B938" s="22">
        <v>191.785</v>
      </c>
      <c r="C938" s="22"/>
      <c r="D938" s="22"/>
      <c r="E938" s="33">
        <v>45275</v>
      </c>
    </row>
    <row r="939" spans="2:5" x14ac:dyDescent="0.3">
      <c r="B939" s="22">
        <v>191.50299999999999</v>
      </c>
      <c r="C939" s="22"/>
      <c r="D939" s="22"/>
      <c r="E939" s="33">
        <v>45278</v>
      </c>
    </row>
    <row r="940" spans="2:5" x14ac:dyDescent="0.3">
      <c r="B940" s="22">
        <v>191.86099999999999</v>
      </c>
      <c r="C940" s="22"/>
      <c r="D940" s="22"/>
      <c r="E940" s="33">
        <v>45279</v>
      </c>
    </row>
    <row r="941" spans="2:5" x14ac:dyDescent="0.3">
      <c r="B941" s="22">
        <v>188.77799999999999</v>
      </c>
      <c r="C941" s="22"/>
      <c r="D941" s="22"/>
      <c r="E941" s="33">
        <v>45280</v>
      </c>
    </row>
    <row r="942" spans="2:5" x14ac:dyDescent="0.3">
      <c r="B942" s="22">
        <v>189.36</v>
      </c>
      <c r="C942" s="22"/>
      <c r="D942" s="22"/>
      <c r="E942" s="33">
        <v>45281</v>
      </c>
    </row>
    <row r="943" spans="2:5" x14ac:dyDescent="0.3">
      <c r="B943" s="22">
        <v>190.24</v>
      </c>
      <c r="C943" s="22"/>
      <c r="D943" s="22"/>
      <c r="E943" s="33">
        <v>45282</v>
      </c>
    </row>
    <row r="944" spans="2:5" x14ac:dyDescent="0.3">
      <c r="B944" s="22">
        <v>191.57</v>
      </c>
      <c r="C944" s="22"/>
      <c r="D944" s="22"/>
      <c r="E944" s="33">
        <v>45286</v>
      </c>
    </row>
    <row r="945" spans="2:5" x14ac:dyDescent="0.3">
      <c r="B945" s="22">
        <v>192.791</v>
      </c>
      <c r="C945" s="22"/>
      <c r="D945" s="22"/>
      <c r="E945" s="33">
        <v>45287</v>
      </c>
    </row>
    <row r="946" spans="2:5" x14ac:dyDescent="0.3">
      <c r="B946" s="22">
        <v>194.065</v>
      </c>
      <c r="C946" s="22"/>
      <c r="D946" s="22"/>
      <c r="E946" s="33">
        <v>45288</v>
      </c>
    </row>
    <row r="947" spans="2:5" x14ac:dyDescent="0.3">
      <c r="B947" s="22">
        <v>193.483</v>
      </c>
      <c r="C947" s="22"/>
      <c r="D947" s="22"/>
      <c r="E947" s="33">
        <v>45289</v>
      </c>
    </row>
    <row r="948" spans="2:5" x14ac:dyDescent="0.3">
      <c r="B948" s="22">
        <v>193.547</v>
      </c>
      <c r="C948" s="22"/>
      <c r="D948" s="22"/>
      <c r="E948" s="33">
        <v>45292</v>
      </c>
    </row>
    <row r="949" spans="2:5" x14ac:dyDescent="0.3">
      <c r="B949" s="22">
        <v>192.93899999999999</v>
      </c>
      <c r="C949" s="22"/>
      <c r="D949" s="22"/>
      <c r="E949" s="33">
        <v>45293</v>
      </c>
    </row>
    <row r="950" spans="2:5" x14ac:dyDescent="0.3">
      <c r="B950" s="22">
        <v>193.34100000000001</v>
      </c>
      <c r="C950" s="22"/>
      <c r="D950" s="22"/>
      <c r="E950" s="33">
        <v>45294</v>
      </c>
    </row>
    <row r="951" spans="2:5" x14ac:dyDescent="0.3">
      <c r="B951" s="22">
        <v>194.76599999999999</v>
      </c>
      <c r="C951" s="22"/>
      <c r="D951" s="22"/>
      <c r="E951" s="33">
        <v>45295</v>
      </c>
    </row>
    <row r="952" spans="2:5" x14ac:dyDescent="0.3">
      <c r="B952" s="22">
        <v>195.21600000000001</v>
      </c>
      <c r="C952" s="22"/>
      <c r="D952" s="22"/>
      <c r="E952" s="33">
        <v>45296</v>
      </c>
    </row>
    <row r="953" spans="2:5" x14ac:dyDescent="0.3">
      <c r="B953" s="22">
        <v>193.85400000000001</v>
      </c>
      <c r="C953" s="22"/>
      <c r="D953" s="22"/>
      <c r="E953" s="33">
        <v>45299</v>
      </c>
    </row>
    <row r="954" spans="2:5" x14ac:dyDescent="0.3">
      <c r="B954" s="22">
        <v>194.58699999999999</v>
      </c>
      <c r="C954" s="22"/>
      <c r="D954" s="22"/>
      <c r="E954" s="33">
        <v>45300</v>
      </c>
    </row>
    <row r="955" spans="2:5" x14ac:dyDescent="0.3">
      <c r="B955" s="22">
        <v>195.34700000000001</v>
      </c>
      <c r="C955" s="22"/>
      <c r="D955" s="22"/>
      <c r="E955" s="33">
        <v>45301</v>
      </c>
    </row>
    <row r="956" spans="2:5" x14ac:dyDescent="0.3">
      <c r="B956" s="22">
        <v>195.67599999999999</v>
      </c>
      <c r="C956" s="22"/>
      <c r="D956" s="22"/>
      <c r="E956" s="33">
        <v>45302</v>
      </c>
    </row>
    <row r="957" spans="2:5" x14ac:dyDescent="0.3">
      <c r="B957" s="22">
        <v>196.38</v>
      </c>
      <c r="C957" s="22"/>
      <c r="D957" s="22"/>
      <c r="E957" s="33">
        <v>45303</v>
      </c>
    </row>
    <row r="958" spans="2:5" x14ac:dyDescent="0.3">
      <c r="B958" s="22">
        <v>198.048</v>
      </c>
      <c r="C958" s="22"/>
      <c r="D958" s="22"/>
      <c r="E958" s="33">
        <v>45306</v>
      </c>
    </row>
    <row r="959" spans="2:5" x14ac:dyDescent="0.3">
      <c r="B959" s="22">
        <v>197.06399999999999</v>
      </c>
      <c r="C959" s="22"/>
      <c r="D959" s="22"/>
      <c r="E959" s="33">
        <v>45307</v>
      </c>
    </row>
    <row r="960" spans="2:5" x14ac:dyDescent="0.3">
      <c r="B960" s="22">
        <v>193.87799999999999</v>
      </c>
      <c r="C960" s="22"/>
      <c r="D960" s="22"/>
      <c r="E960" s="33">
        <v>45308</v>
      </c>
    </row>
    <row r="961" spans="2:5" x14ac:dyDescent="0.3">
      <c r="B961" s="22">
        <v>193.71299999999999</v>
      </c>
      <c r="C961" s="22"/>
      <c r="D961" s="22"/>
      <c r="E961" s="33">
        <v>45309</v>
      </c>
    </row>
    <row r="962" spans="2:5" x14ac:dyDescent="0.3">
      <c r="B962" s="22">
        <v>195.41499999999999</v>
      </c>
      <c r="C962" s="22"/>
      <c r="D962" s="22"/>
      <c r="E962" s="33">
        <v>45310</v>
      </c>
    </row>
    <row r="963" spans="2:5" x14ac:dyDescent="0.3">
      <c r="B963" s="22">
        <v>193.85300000000001</v>
      </c>
      <c r="C963" s="22"/>
      <c r="D963" s="22"/>
      <c r="E963" s="33">
        <v>45314</v>
      </c>
    </row>
    <row r="964" spans="2:5" x14ac:dyDescent="0.3">
      <c r="B964" s="22">
        <v>195.58099999999999</v>
      </c>
      <c r="C964" s="22"/>
      <c r="D964" s="22"/>
      <c r="E964" s="33">
        <v>45315</v>
      </c>
    </row>
    <row r="965" spans="2:5" x14ac:dyDescent="0.3">
      <c r="B965" s="22">
        <v>194.11199999999999</v>
      </c>
      <c r="C965" s="22"/>
      <c r="D965" s="22"/>
      <c r="E965" s="33">
        <v>45316</v>
      </c>
    </row>
    <row r="966" spans="2:5" x14ac:dyDescent="0.3">
      <c r="B966" s="22">
        <v>196.32</v>
      </c>
      <c r="C966" s="22"/>
      <c r="D966" s="22"/>
      <c r="E966" s="33">
        <v>45320</v>
      </c>
    </row>
    <row r="967" spans="2:5" x14ac:dyDescent="0.3">
      <c r="B967" s="22">
        <v>195.79599999999999</v>
      </c>
      <c r="C967" s="22"/>
      <c r="D967" s="22"/>
      <c r="E967" s="33">
        <v>45321</v>
      </c>
    </row>
    <row r="968" spans="2:5" x14ac:dyDescent="0.3">
      <c r="B968" s="22">
        <v>198.14</v>
      </c>
      <c r="C968" s="22"/>
      <c r="D968" s="22"/>
      <c r="E968" s="33">
        <v>45322</v>
      </c>
    </row>
    <row r="969" spans="2:5" x14ac:dyDescent="0.3">
      <c r="B969" s="22">
        <v>198.59200000000001</v>
      </c>
      <c r="C969" s="22"/>
      <c r="D969" s="22"/>
      <c r="E969" s="33">
        <v>45323</v>
      </c>
    </row>
    <row r="970" spans="2:5" x14ac:dyDescent="0.3">
      <c r="B970" s="22">
        <v>198.60599999999999</v>
      </c>
      <c r="C970" s="22"/>
      <c r="D970" s="22"/>
      <c r="E970" s="33">
        <v>45324</v>
      </c>
    </row>
    <row r="971" spans="2:5" x14ac:dyDescent="0.3">
      <c r="B971" s="22">
        <v>198.142</v>
      </c>
      <c r="C971" s="22"/>
      <c r="D971" s="22"/>
      <c r="E971" s="33">
        <v>45327</v>
      </c>
    </row>
    <row r="972" spans="2:5" x14ac:dyDescent="0.3">
      <c r="B972" s="22">
        <v>199.40100000000001</v>
      </c>
      <c r="C972" s="22"/>
      <c r="D972" s="22"/>
      <c r="E972" s="33">
        <v>45328</v>
      </c>
    </row>
    <row r="973" spans="2:5" x14ac:dyDescent="0.3">
      <c r="B973" s="22">
        <v>199.465</v>
      </c>
      <c r="C973" s="22"/>
      <c r="D973" s="22"/>
      <c r="E973" s="33">
        <v>45329</v>
      </c>
    </row>
    <row r="974" spans="2:5" x14ac:dyDescent="0.3">
      <c r="B974" s="22">
        <v>198.697</v>
      </c>
      <c r="C974" s="22"/>
      <c r="D974" s="22"/>
      <c r="E974" s="33">
        <v>45330</v>
      </c>
    </row>
    <row r="975" spans="2:5" x14ac:dyDescent="0.3">
      <c r="B975" s="22">
        <v>198.82300000000001</v>
      </c>
      <c r="C975" s="22"/>
      <c r="D975" s="22"/>
      <c r="E975" s="33">
        <v>45331</v>
      </c>
    </row>
    <row r="976" spans="2:5" x14ac:dyDescent="0.3">
      <c r="B976" s="22">
        <v>197.66</v>
      </c>
      <c r="C976" s="22"/>
      <c r="D976" s="22"/>
      <c r="E976" s="33">
        <v>45334</v>
      </c>
    </row>
    <row r="977" spans="2:5" x14ac:dyDescent="0.3">
      <c r="B977" s="22">
        <v>199.58699999999999</v>
      </c>
      <c r="C977" s="22"/>
      <c r="D977" s="22"/>
      <c r="E977" s="33">
        <v>45335</v>
      </c>
    </row>
    <row r="978" spans="2:5" x14ac:dyDescent="0.3">
      <c r="B978" s="22">
        <v>200.589</v>
      </c>
      <c r="C978" s="22"/>
      <c r="D978" s="22"/>
      <c r="E978" s="33">
        <v>45336</v>
      </c>
    </row>
    <row r="979" spans="2:5" x14ac:dyDescent="0.3">
      <c r="B979" s="22">
        <v>201.99799999999999</v>
      </c>
      <c r="C979" s="22"/>
      <c r="D979" s="22"/>
      <c r="E979" s="33">
        <v>45337</v>
      </c>
    </row>
    <row r="980" spans="2:5" x14ac:dyDescent="0.3">
      <c r="B980" s="22">
        <v>203.648</v>
      </c>
      <c r="C980" s="22"/>
      <c r="D980" s="22"/>
      <c r="E980" s="33">
        <v>45338</v>
      </c>
    </row>
    <row r="981" spans="2:5" x14ac:dyDescent="0.3">
      <c r="B981" s="22">
        <v>204.30500000000001</v>
      </c>
      <c r="C981" s="22"/>
      <c r="D981" s="22"/>
      <c r="E981" s="33">
        <v>45341</v>
      </c>
    </row>
    <row r="982" spans="2:5" x14ac:dyDescent="0.3">
      <c r="B982" s="22">
        <v>205.40799999999999</v>
      </c>
      <c r="C982" s="22"/>
      <c r="D982" s="22"/>
      <c r="E982" s="33">
        <v>45342</v>
      </c>
    </row>
    <row r="983" spans="2:5" x14ac:dyDescent="0.3">
      <c r="B983" s="22">
        <v>204.47</v>
      </c>
      <c r="C983" s="22"/>
      <c r="D983" s="22"/>
      <c r="E983" s="33">
        <v>45343</v>
      </c>
    </row>
    <row r="984" spans="2:5" x14ac:dyDescent="0.3">
      <c r="B984" s="22">
        <v>205.57</v>
      </c>
      <c r="C984" s="22"/>
      <c r="D984" s="22"/>
      <c r="E984" s="33">
        <v>45344</v>
      </c>
    </row>
    <row r="985" spans="2:5" x14ac:dyDescent="0.3">
      <c r="B985" s="22">
        <v>205.946</v>
      </c>
      <c r="C985" s="22"/>
      <c r="D985" s="22"/>
      <c r="E985" s="33">
        <v>45345</v>
      </c>
    </row>
    <row r="986" spans="2:5" x14ac:dyDescent="0.3">
      <c r="B986" s="22">
        <v>205.41499999999999</v>
      </c>
      <c r="C986" s="22"/>
      <c r="D986" s="22"/>
      <c r="E986" s="33">
        <v>45348</v>
      </c>
    </row>
    <row r="987" spans="2:5" x14ac:dyDescent="0.3">
      <c r="B987" s="22">
        <v>205.77699999999999</v>
      </c>
      <c r="C987" s="22"/>
      <c r="D987" s="22"/>
      <c r="E987" s="33">
        <v>45349</v>
      </c>
    </row>
    <row r="988" spans="2:5" x14ac:dyDescent="0.3">
      <c r="B988" s="22">
        <v>203.82</v>
      </c>
      <c r="C988" s="22"/>
      <c r="D988" s="22"/>
      <c r="E988" s="33">
        <v>45350</v>
      </c>
    </row>
    <row r="989" spans="2:5" x14ac:dyDescent="0.3">
      <c r="B989" s="22">
        <v>203.7</v>
      </c>
      <c r="C989" s="22"/>
      <c r="D989" s="22"/>
      <c r="E989" s="33">
        <v>45351</v>
      </c>
    </row>
    <row r="990" spans="2:5" x14ac:dyDescent="0.3">
      <c r="B990" s="22">
        <v>206.09100000000001</v>
      </c>
      <c r="C990" s="22"/>
      <c r="D990" s="22"/>
      <c r="E990" s="33">
        <v>45352</v>
      </c>
    </row>
    <row r="991" spans="2:5" x14ac:dyDescent="0.3">
      <c r="B991" s="22">
        <v>206.5</v>
      </c>
      <c r="C991" s="22"/>
      <c r="D991" s="22"/>
      <c r="E991" s="33">
        <v>45355</v>
      </c>
    </row>
    <row r="992" spans="2:5" x14ac:dyDescent="0.3">
      <c r="B992" s="22">
        <v>206.95400000000001</v>
      </c>
      <c r="C992" s="22"/>
      <c r="D992" s="22"/>
      <c r="E992" s="33">
        <v>45356</v>
      </c>
    </row>
    <row r="993" spans="2:5" x14ac:dyDescent="0.3">
      <c r="B993" s="22">
        <v>207.61099999999999</v>
      </c>
      <c r="C993" s="22"/>
      <c r="D993" s="22"/>
      <c r="E993" s="33">
        <v>45357</v>
      </c>
    </row>
    <row r="994" spans="2:5" x14ac:dyDescent="0.3">
      <c r="B994" s="22">
        <v>207.374</v>
      </c>
      <c r="C994" s="22"/>
      <c r="D994" s="22"/>
      <c r="E994" s="33">
        <v>45358</v>
      </c>
    </row>
    <row r="995" spans="2:5" x14ac:dyDescent="0.3">
      <c r="B995" s="22">
        <v>206.904</v>
      </c>
      <c r="C995" s="22"/>
      <c r="D995" s="22"/>
      <c r="E995" s="33">
        <v>45362</v>
      </c>
    </row>
    <row r="996" spans="2:5" x14ac:dyDescent="0.3">
      <c r="B996" s="22">
        <v>205.87100000000001</v>
      </c>
      <c r="C996" s="22"/>
      <c r="D996" s="22"/>
      <c r="E996" s="33">
        <v>45363</v>
      </c>
    </row>
    <row r="997" spans="2:5" x14ac:dyDescent="0.3">
      <c r="B997" s="22">
        <v>202.792</v>
      </c>
      <c r="C997" s="22"/>
      <c r="D997" s="22"/>
      <c r="E997" s="33">
        <v>45364</v>
      </c>
    </row>
    <row r="998" spans="2:5" x14ac:dyDescent="0.3">
      <c r="B998" s="22">
        <v>203.875</v>
      </c>
      <c r="C998" s="22"/>
      <c r="D998" s="22"/>
      <c r="E998" s="33">
        <v>45365</v>
      </c>
    </row>
    <row r="999" spans="2:5" x14ac:dyDescent="0.3">
      <c r="B999" s="22">
        <v>202.99</v>
      </c>
      <c r="C999" s="22"/>
      <c r="D999" s="22"/>
      <c r="E999" s="33">
        <v>45366</v>
      </c>
    </row>
    <row r="1000" spans="2:5" x14ac:dyDescent="0.3">
      <c r="B1000" s="22">
        <v>203.351</v>
      </c>
      <c r="C1000" s="22"/>
      <c r="D1000" s="22"/>
      <c r="E1000" s="33">
        <v>45369</v>
      </c>
    </row>
    <row r="1001" spans="2:5" x14ac:dyDescent="0.3">
      <c r="B1001" s="22">
        <v>202.21899999999999</v>
      </c>
      <c r="C1001" s="22"/>
      <c r="D1001" s="22"/>
      <c r="E1001" s="33">
        <v>45370</v>
      </c>
    </row>
    <row r="1002" spans="2:5" x14ac:dyDescent="0.3">
      <c r="B1002" s="22">
        <v>202.071</v>
      </c>
      <c r="C1002" s="22"/>
      <c r="D1002" s="22"/>
      <c r="E1002" s="33">
        <v>45371</v>
      </c>
    </row>
    <row r="1003" spans="2:5" x14ac:dyDescent="0.3">
      <c r="B1003" s="22">
        <v>203.83099999999999</v>
      </c>
      <c r="C1003" s="22"/>
      <c r="D1003" s="22"/>
      <c r="E1003" s="33">
        <v>45372</v>
      </c>
    </row>
    <row r="1004" spans="2:5" x14ac:dyDescent="0.3">
      <c r="B1004" s="22">
        <v>205.18299999999999</v>
      </c>
      <c r="C1004" s="22"/>
      <c r="D1004" s="22"/>
      <c r="E1004" s="33">
        <v>45373</v>
      </c>
    </row>
    <row r="1005" spans="2:5" x14ac:dyDescent="0.3">
      <c r="B1005" s="22">
        <v>204.988</v>
      </c>
      <c r="C1005" s="22"/>
      <c r="D1005" s="22"/>
      <c r="E1005" s="33">
        <v>45377</v>
      </c>
    </row>
    <row r="1006" spans="2:5" x14ac:dyDescent="0.3">
      <c r="B1006" s="22">
        <v>205.76</v>
      </c>
      <c r="C1006" s="22"/>
      <c r="D1006" s="22"/>
      <c r="E1006" s="33">
        <v>45378</v>
      </c>
    </row>
    <row r="1007" spans="2:5" x14ac:dyDescent="0.3">
      <c r="B1007" s="22">
        <v>206.93299999999999</v>
      </c>
      <c r="C1007" s="22"/>
      <c r="D1007" s="22"/>
      <c r="E1007" s="33">
        <v>45379</v>
      </c>
    </row>
    <row r="1008" spans="2:5" x14ac:dyDescent="0.3">
      <c r="B1008" s="22">
        <v>206.94</v>
      </c>
      <c r="C1008" s="22"/>
      <c r="D1008" s="22"/>
      <c r="E1008" s="33">
        <v>45382</v>
      </c>
    </row>
    <row r="1009" spans="2:5" x14ac:dyDescent="0.3">
      <c r="B1009" s="22">
        <v>208.68</v>
      </c>
      <c r="C1009" s="22"/>
      <c r="D1009" s="22"/>
      <c r="E1009" s="33">
        <v>45383</v>
      </c>
    </row>
    <row r="1010" spans="2:5" x14ac:dyDescent="0.3">
      <c r="B1010" s="22">
        <v>209.03399999999999</v>
      </c>
      <c r="C1010" s="22"/>
      <c r="D1010" s="22"/>
      <c r="E1010" s="33">
        <v>45384</v>
      </c>
    </row>
    <row r="1011" spans="2:5" x14ac:dyDescent="0.3">
      <c r="B1011" s="22">
        <v>209.255</v>
      </c>
      <c r="C1011" s="22"/>
      <c r="D1011" s="22"/>
      <c r="E1011" s="33">
        <v>45385</v>
      </c>
    </row>
    <row r="1012" spans="2:5" x14ac:dyDescent="0.3">
      <c r="B1012" s="22">
        <v>209.74199999999999</v>
      </c>
      <c r="C1012" s="22"/>
      <c r="D1012" s="22"/>
      <c r="E1012" s="33">
        <v>45386</v>
      </c>
    </row>
    <row r="1013" spans="2:5" x14ac:dyDescent="0.3">
      <c r="B1013" s="22">
        <v>210.50700000000001</v>
      </c>
      <c r="C1013" s="22"/>
      <c r="D1013" s="22"/>
      <c r="E1013" s="33">
        <v>45387</v>
      </c>
    </row>
    <row r="1014" spans="2:5" x14ac:dyDescent="0.3">
      <c r="B1014" s="22">
        <v>211.40700000000001</v>
      </c>
      <c r="C1014" s="22"/>
      <c r="D1014" s="22"/>
      <c r="E1014" s="33">
        <v>45390</v>
      </c>
    </row>
    <row r="1015" spans="2:5" x14ac:dyDescent="0.3">
      <c r="B1015" s="22">
        <v>211.57400000000001</v>
      </c>
      <c r="C1015" s="22"/>
      <c r="D1015" s="22"/>
      <c r="E1015" s="33">
        <v>45391</v>
      </c>
    </row>
    <row r="1016" spans="2:5" x14ac:dyDescent="0.3">
      <c r="B1016" s="22">
        <v>211.91800000000001</v>
      </c>
      <c r="C1016" s="22"/>
      <c r="D1016" s="22"/>
      <c r="E1016" s="33">
        <v>45392</v>
      </c>
    </row>
    <row r="1017" spans="2:5" x14ac:dyDescent="0.3">
      <c r="B1017" s="22">
        <v>210.44900000000001</v>
      </c>
      <c r="C1017" s="22"/>
      <c r="D1017" s="22"/>
      <c r="E1017" s="33">
        <v>45394</v>
      </c>
    </row>
    <row r="1018" spans="2:5" x14ac:dyDescent="0.3">
      <c r="B1018" s="22">
        <v>208.215</v>
      </c>
      <c r="C1018" s="22"/>
      <c r="D1018" s="22"/>
      <c r="E1018" s="33">
        <v>45397</v>
      </c>
    </row>
    <row r="1019" spans="2:5" x14ac:dyDescent="0.3">
      <c r="B1019" s="22">
        <v>208.041</v>
      </c>
      <c r="C1019" s="22"/>
      <c r="D1019" s="22"/>
      <c r="E1019" s="33">
        <v>45398</v>
      </c>
    </row>
    <row r="1020" spans="2:5" x14ac:dyDescent="0.3">
      <c r="B1020" s="22">
        <v>206.90700000000001</v>
      </c>
      <c r="C1020" s="22"/>
      <c r="D1020" s="22"/>
      <c r="E1020" s="33">
        <v>45400</v>
      </c>
    </row>
    <row r="1021" spans="2:5" x14ac:dyDescent="0.3">
      <c r="B1021" s="22">
        <v>208.14500000000001</v>
      </c>
      <c r="C1021" s="22"/>
      <c r="D1021" s="22"/>
      <c r="E1021" s="33">
        <v>45401</v>
      </c>
    </row>
    <row r="1022" spans="2:5" x14ac:dyDescent="0.3">
      <c r="B1022" s="22">
        <v>209.96799999999999</v>
      </c>
      <c r="C1022" s="22"/>
      <c r="D1022" s="22"/>
      <c r="E1022" s="33">
        <v>45404</v>
      </c>
    </row>
    <row r="1023" spans="2:5" x14ac:dyDescent="0.3">
      <c r="B1023" s="22">
        <v>210.55500000000001</v>
      </c>
      <c r="C1023" s="22"/>
      <c r="D1023" s="22"/>
      <c r="E1023" s="33">
        <v>45405</v>
      </c>
    </row>
    <row r="1024" spans="2:5" x14ac:dyDescent="0.3">
      <c r="B1024" s="22">
        <v>211.614</v>
      </c>
      <c r="C1024" s="22"/>
      <c r="D1024" s="22"/>
      <c r="E1024" s="33">
        <v>45406</v>
      </c>
    </row>
    <row r="1025" spans="2:5" x14ac:dyDescent="0.3">
      <c r="B1025" s="22">
        <v>213.32400000000001</v>
      </c>
      <c r="C1025" s="22"/>
      <c r="D1025" s="22"/>
      <c r="E1025" s="33">
        <v>45407</v>
      </c>
    </row>
    <row r="1026" spans="2:5" x14ac:dyDescent="0.3">
      <c r="B1026" s="22">
        <v>212.75299999999999</v>
      </c>
      <c r="C1026" s="22"/>
      <c r="D1026" s="22"/>
      <c r="E1026" s="33">
        <v>45408</v>
      </c>
    </row>
    <row r="1027" spans="2:5" x14ac:dyDescent="0.3">
      <c r="B1027" s="22">
        <v>214.131</v>
      </c>
      <c r="C1027" s="22"/>
      <c r="D1027" s="22"/>
      <c r="E1027" s="33">
        <v>45411</v>
      </c>
    </row>
    <row r="1028" spans="2:5" x14ac:dyDescent="0.3">
      <c r="B1028" s="22">
        <v>214.393</v>
      </c>
      <c r="C1028" s="22"/>
      <c r="D1028" s="22"/>
      <c r="E1028" s="33">
        <v>45412</v>
      </c>
    </row>
    <row r="1029" spans="2:5" x14ac:dyDescent="0.3">
      <c r="B1029" s="22">
        <v>214.69300000000001</v>
      </c>
      <c r="C1029" s="22"/>
      <c r="D1029" s="22"/>
      <c r="E1029" s="33">
        <v>45414</v>
      </c>
    </row>
    <row r="1030" spans="2:5" x14ac:dyDescent="0.3">
      <c r="B1030" s="22">
        <v>214.31399999999999</v>
      </c>
      <c r="C1030" s="22"/>
      <c r="D1030" s="22"/>
      <c r="E1030" s="33">
        <v>45415</v>
      </c>
    </row>
    <row r="1031" spans="2:5" x14ac:dyDescent="0.3">
      <c r="B1031" s="22">
        <v>214.559</v>
      </c>
      <c r="C1031" s="22"/>
      <c r="D1031" s="22"/>
      <c r="E1031" s="33">
        <v>45418</v>
      </c>
    </row>
    <row r="1032" spans="2:5" x14ac:dyDescent="0.3">
      <c r="B1032" s="22">
        <v>212.28200000000001</v>
      </c>
      <c r="C1032" s="22"/>
      <c r="D1032" s="22"/>
      <c r="E1032" s="33">
        <v>45419</v>
      </c>
    </row>
    <row r="1033" spans="2:5" x14ac:dyDescent="0.3">
      <c r="B1033" s="22">
        <v>212.97</v>
      </c>
      <c r="C1033" s="22"/>
      <c r="D1033" s="22"/>
      <c r="E1033" s="33">
        <v>45420</v>
      </c>
    </row>
    <row r="1034" spans="2:5" x14ac:dyDescent="0.3">
      <c r="B1034" s="22">
        <v>210.88</v>
      </c>
      <c r="C1034" s="22"/>
      <c r="D1034" s="22"/>
      <c r="E1034" s="33">
        <v>45421</v>
      </c>
    </row>
    <row r="1035" spans="2:5" x14ac:dyDescent="0.3">
      <c r="B1035" s="22">
        <v>211.91200000000001</v>
      </c>
      <c r="C1035" s="22"/>
      <c r="D1035" s="22"/>
      <c r="E1035" s="33">
        <v>45422</v>
      </c>
    </row>
    <row r="1036" spans="2:5" x14ac:dyDescent="0.3">
      <c r="B1036" s="22">
        <v>212.91300000000001</v>
      </c>
      <c r="C1036" s="22"/>
      <c r="D1036" s="22"/>
      <c r="E1036" s="33">
        <v>45425</v>
      </c>
    </row>
    <row r="1037" spans="2:5" x14ac:dyDescent="0.3">
      <c r="B1037" s="22">
        <v>213.381</v>
      </c>
      <c r="C1037" s="22"/>
      <c r="D1037" s="22"/>
      <c r="E1037" s="33">
        <v>45426</v>
      </c>
    </row>
    <row r="1038" spans="2:5" x14ac:dyDescent="0.3">
      <c r="B1038" s="22">
        <v>214.28</v>
      </c>
      <c r="C1038" s="22"/>
      <c r="D1038" s="22"/>
      <c r="E1038" s="33">
        <v>45427</v>
      </c>
    </row>
    <row r="1039" spans="2:5" x14ac:dyDescent="0.3">
      <c r="B1039" s="22">
        <v>216.66399999999999</v>
      </c>
      <c r="C1039" s="22"/>
      <c r="D1039" s="22"/>
      <c r="E1039" s="33">
        <v>45428</v>
      </c>
    </row>
    <row r="1040" spans="2:5" x14ac:dyDescent="0.3">
      <c r="B1040" s="22">
        <v>217.07499999999999</v>
      </c>
      <c r="C1040" s="22"/>
      <c r="D1040" s="22"/>
      <c r="E1040" s="33">
        <v>45429</v>
      </c>
    </row>
    <row r="1041" spans="2:5" x14ac:dyDescent="0.3">
      <c r="B1041" s="22">
        <v>218.25299999999999</v>
      </c>
      <c r="C1041" s="22"/>
      <c r="D1041" s="22"/>
      <c r="E1041" s="33">
        <v>45433</v>
      </c>
    </row>
    <row r="1042" spans="2:5" x14ac:dyDescent="0.3">
      <c r="B1042" s="22">
        <v>218.429</v>
      </c>
      <c r="C1042" s="22"/>
      <c r="D1042" s="22"/>
      <c r="E1042" s="33">
        <v>45434</v>
      </c>
    </row>
    <row r="1043" spans="2:5" x14ac:dyDescent="0.3">
      <c r="B1043" s="22">
        <v>221.089</v>
      </c>
      <c r="C1043" s="22"/>
      <c r="D1043" s="22"/>
      <c r="E1043" s="33">
        <v>45435</v>
      </c>
    </row>
    <row r="1044" spans="2:5" x14ac:dyDescent="0.3">
      <c r="B1044" s="22">
        <v>221.51</v>
      </c>
      <c r="C1044" s="22"/>
      <c r="D1044" s="22"/>
      <c r="E1044" s="33">
        <v>45436</v>
      </c>
    </row>
    <row r="1045" spans="2:5" x14ac:dyDescent="0.3">
      <c r="B1045" s="22">
        <v>221.86799999999999</v>
      </c>
      <c r="C1045" s="22"/>
      <c r="D1045" s="22"/>
      <c r="E1045" s="33">
        <v>45439</v>
      </c>
    </row>
    <row r="1046" spans="2:5" x14ac:dyDescent="0.3">
      <c r="B1046" s="22">
        <v>221.48400000000001</v>
      </c>
      <c r="C1046" s="22"/>
      <c r="D1046" s="22"/>
      <c r="E1046" s="33">
        <v>45440</v>
      </c>
    </row>
    <row r="1047" spans="2:5" x14ac:dyDescent="0.3">
      <c r="B1047" s="22">
        <v>220.017</v>
      </c>
      <c r="C1047" s="22"/>
      <c r="D1047" s="22"/>
      <c r="E1047" s="33">
        <v>45441</v>
      </c>
    </row>
    <row r="1048" spans="2:5" x14ac:dyDescent="0.3">
      <c r="B1048" s="22">
        <v>218.92099999999999</v>
      </c>
      <c r="C1048" s="22"/>
      <c r="D1048" s="22"/>
      <c r="E1048" s="33">
        <v>45442</v>
      </c>
    </row>
    <row r="1049" spans="2:5" x14ac:dyDescent="0.3">
      <c r="B1049" s="22">
        <v>219.40199999999999</v>
      </c>
      <c r="C1049" s="22"/>
      <c r="D1049" s="22"/>
      <c r="E1049" s="33">
        <v>45443</v>
      </c>
    </row>
    <row r="1050" spans="2:5" x14ac:dyDescent="0.3">
      <c r="B1050" s="22">
        <v>224.036</v>
      </c>
      <c r="C1050" s="22"/>
      <c r="D1050" s="22"/>
      <c r="E1050" s="33">
        <v>45446</v>
      </c>
    </row>
    <row r="1051" spans="2:5" x14ac:dyDescent="0.3">
      <c r="B1051" s="22">
        <v>213.654</v>
      </c>
      <c r="C1051" s="22"/>
      <c r="D1051" s="22"/>
      <c r="E1051" s="33">
        <v>45447</v>
      </c>
    </row>
    <row r="1052" spans="2:5" x14ac:dyDescent="0.3">
      <c r="B1052" s="22">
        <v>220.52600000000001</v>
      </c>
      <c r="C1052" s="22"/>
      <c r="D1052" s="22"/>
      <c r="E1052" s="33">
        <v>45448</v>
      </c>
    </row>
    <row r="1053" spans="2:5" x14ac:dyDescent="0.3">
      <c r="B1053" s="22">
        <v>223.143</v>
      </c>
      <c r="C1053" s="22"/>
      <c r="D1053" s="22"/>
      <c r="E1053" s="33">
        <v>45449</v>
      </c>
    </row>
    <row r="1054" spans="2:5" x14ac:dyDescent="0.3">
      <c r="B1054" s="22">
        <v>225.624</v>
      </c>
      <c r="C1054" s="22"/>
      <c r="D1054" s="22"/>
      <c r="E1054" s="33">
        <v>45450</v>
      </c>
    </row>
    <row r="1055" spans="2:5" x14ac:dyDescent="0.3">
      <c r="B1055" s="22">
        <v>226.834</v>
      </c>
      <c r="C1055" s="22"/>
      <c r="D1055" s="22"/>
      <c r="E1055" s="33">
        <v>45453</v>
      </c>
    </row>
    <row r="1056" spans="2:5" x14ac:dyDescent="0.3">
      <c r="B1056" s="22">
        <v>226.892</v>
      </c>
      <c r="C1056" s="22"/>
      <c r="D1056" s="22"/>
      <c r="E1056" s="33">
        <v>45454</v>
      </c>
    </row>
    <row r="1057" spans="2:5" x14ac:dyDescent="0.3">
      <c r="B1057" s="22">
        <v>227.45</v>
      </c>
      <c r="C1057" s="22"/>
      <c r="D1057" s="22"/>
      <c r="E1057" s="33">
        <v>45455</v>
      </c>
    </row>
    <row r="1058" spans="2:5" x14ac:dyDescent="0.3">
      <c r="B1058" s="22">
        <v>228.18299999999999</v>
      </c>
      <c r="C1058" s="22"/>
      <c r="D1058" s="22"/>
      <c r="E1058" s="33">
        <v>45456</v>
      </c>
    </row>
    <row r="1059" spans="2:5" x14ac:dyDescent="0.3">
      <c r="B1059" s="22">
        <v>228.9</v>
      </c>
      <c r="C1059" s="22"/>
      <c r="D1059" s="22"/>
      <c r="E1059" s="33">
        <v>45457</v>
      </c>
    </row>
    <row r="1060" spans="2:5" x14ac:dyDescent="0.3">
      <c r="B1060" s="22">
        <v>230.30099999999999</v>
      </c>
      <c r="C1060" s="22"/>
      <c r="D1060" s="22"/>
      <c r="E1060" s="33">
        <v>45461</v>
      </c>
    </row>
    <row r="1061" spans="2:5" x14ac:dyDescent="0.3">
      <c r="B1061" s="22">
        <v>230.928</v>
      </c>
      <c r="C1061" s="22"/>
      <c r="D1061" s="22"/>
      <c r="E1061" s="33">
        <v>45462</v>
      </c>
    </row>
    <row r="1062" spans="2:5" x14ac:dyDescent="0.3">
      <c r="B1062" s="22">
        <v>231.78800000000001</v>
      </c>
      <c r="C1062" s="22"/>
      <c r="D1062" s="22"/>
      <c r="E1062" s="33">
        <v>45463</v>
      </c>
    </row>
    <row r="1063" spans="2:5" x14ac:dyDescent="0.3">
      <c r="B1063" s="22">
        <v>232.10599999999999</v>
      </c>
      <c r="C1063" s="22"/>
      <c r="D1063" s="22"/>
      <c r="E1063" s="33">
        <v>45464</v>
      </c>
    </row>
    <row r="1064" spans="2:5" x14ac:dyDescent="0.3">
      <c r="B1064" s="22">
        <v>232.596</v>
      </c>
      <c r="C1064" s="22"/>
      <c r="D1064" s="22"/>
      <c r="E1064" s="33">
        <v>45467</v>
      </c>
    </row>
    <row r="1065" spans="2:5" x14ac:dyDescent="0.3">
      <c r="B1065" s="22">
        <v>234.624</v>
      </c>
      <c r="C1065" s="22"/>
      <c r="D1065" s="22"/>
      <c r="E1065" s="33">
        <v>45468</v>
      </c>
    </row>
    <row r="1066" spans="2:5" x14ac:dyDescent="0.3">
      <c r="B1066" s="22">
        <v>234.61600000000001</v>
      </c>
      <c r="C1066" s="22"/>
      <c r="D1066" s="22"/>
      <c r="E1066" s="33">
        <v>45469</v>
      </c>
    </row>
    <row r="1067" spans="2:5" x14ac:dyDescent="0.3">
      <c r="B1067" s="22">
        <v>234.95699999999999</v>
      </c>
      <c r="C1067" s="22"/>
      <c r="D1067" s="22"/>
      <c r="E1067" s="33">
        <v>45470</v>
      </c>
    </row>
    <row r="1068" spans="2:5" x14ac:dyDescent="0.3">
      <c r="B1068" s="22">
        <v>234.02</v>
      </c>
      <c r="C1068" s="22"/>
      <c r="D1068" s="22"/>
      <c r="E1068" s="33">
        <v>45471</v>
      </c>
    </row>
    <row r="1069" spans="2:5" x14ac:dyDescent="0.3">
      <c r="B1069" s="22">
        <v>235.405</v>
      </c>
      <c r="C1069" s="22"/>
      <c r="D1069" s="22"/>
      <c r="E1069" s="33">
        <v>45474</v>
      </c>
    </row>
    <row r="1070" spans="2:5" x14ac:dyDescent="0.3">
      <c r="B1070" s="22">
        <v>234.678</v>
      </c>
      <c r="C1070" s="22"/>
      <c r="D1070" s="22"/>
      <c r="E1070" s="33">
        <v>45475</v>
      </c>
    </row>
    <row r="1071" spans="2:5" x14ac:dyDescent="0.3">
      <c r="B1071" s="22">
        <v>236.304</v>
      </c>
      <c r="C1071" s="22"/>
      <c r="D1071" s="22"/>
      <c r="E1071" s="33">
        <v>45476</v>
      </c>
    </row>
    <row r="1072" spans="2:5" x14ac:dyDescent="0.3">
      <c r="B1072" s="22">
        <v>237.28700000000001</v>
      </c>
      <c r="C1072" s="22"/>
      <c r="D1072" s="22"/>
      <c r="E1072" s="33">
        <v>45477</v>
      </c>
    </row>
    <row r="1073" spans="2:5" x14ac:dyDescent="0.3">
      <c r="B1073" s="22">
        <v>236.876</v>
      </c>
      <c r="C1073" s="22"/>
      <c r="D1073" s="22"/>
      <c r="E1073" s="33">
        <v>45478</v>
      </c>
    </row>
    <row r="1074" spans="2:5" x14ac:dyDescent="0.3">
      <c r="B1074" s="22">
        <v>236.41</v>
      </c>
      <c r="C1074" s="22"/>
      <c r="D1074" s="22"/>
      <c r="E1074" s="33">
        <v>45481</v>
      </c>
    </row>
    <row r="1075" spans="2:5" x14ac:dyDescent="0.3">
      <c r="B1075" s="22">
        <v>237.63800000000001</v>
      </c>
      <c r="C1075" s="22"/>
      <c r="D1075" s="22"/>
      <c r="E1075" s="33">
        <v>45482</v>
      </c>
    </row>
    <row r="1076" spans="2:5" x14ac:dyDescent="0.3">
      <c r="B1076" s="22">
        <v>237.09200000000001</v>
      </c>
      <c r="C1076" s="22"/>
      <c r="D1076" s="22"/>
      <c r="E1076" s="33">
        <v>45483</v>
      </c>
    </row>
    <row r="1077" spans="2:5" x14ac:dyDescent="0.3">
      <c r="B1077" s="22">
        <v>237.172</v>
      </c>
      <c r="C1077" s="22"/>
      <c r="D1077" s="22"/>
      <c r="E1077" s="33">
        <v>45484</v>
      </c>
    </row>
    <row r="1078" spans="2:5" x14ac:dyDescent="0.3">
      <c r="B1078" s="22">
        <v>238.11699999999999</v>
      </c>
      <c r="C1078" s="22"/>
      <c r="D1078" s="22"/>
      <c r="E1078" s="33">
        <v>45485</v>
      </c>
    </row>
    <row r="1079" spans="2:5" x14ac:dyDescent="0.3">
      <c r="B1079" s="22">
        <v>239.066</v>
      </c>
      <c r="C1079" s="22"/>
      <c r="D1079" s="22"/>
      <c r="E1079" s="33">
        <v>45488</v>
      </c>
    </row>
    <row r="1080" spans="2:5" x14ac:dyDescent="0.3">
      <c r="B1080" s="22">
        <v>239.191</v>
      </c>
      <c r="C1080" s="22"/>
      <c r="D1080" s="22"/>
      <c r="E1080" s="33">
        <v>45489</v>
      </c>
    </row>
    <row r="1081" spans="2:5" x14ac:dyDescent="0.3">
      <c r="B1081" s="22">
        <v>239.74700000000001</v>
      </c>
      <c r="C1081" s="22"/>
      <c r="D1081" s="22"/>
      <c r="E1081" s="33">
        <v>45491</v>
      </c>
    </row>
    <row r="1082" spans="2:5" x14ac:dyDescent="0.3">
      <c r="B1082" s="22">
        <v>237.93799999999999</v>
      </c>
      <c r="C1082" s="22"/>
      <c r="D1082" s="22"/>
      <c r="E1082" s="33">
        <v>45492</v>
      </c>
    </row>
    <row r="1083" spans="2:5" x14ac:dyDescent="0.3">
      <c r="B1083" s="22">
        <v>238.10400000000001</v>
      </c>
      <c r="C1083" s="22"/>
      <c r="D1083" s="22"/>
      <c r="E1083" s="33">
        <v>45495</v>
      </c>
    </row>
    <row r="1084" spans="2:5" x14ac:dyDescent="0.3">
      <c r="B1084" s="22">
        <v>237.66200000000001</v>
      </c>
      <c r="C1084" s="22"/>
      <c r="D1084" s="22"/>
      <c r="E1084" s="33">
        <v>45496</v>
      </c>
    </row>
    <row r="1085" spans="2:5" x14ac:dyDescent="0.3">
      <c r="B1085" s="22">
        <v>238.441</v>
      </c>
      <c r="C1085" s="22"/>
      <c r="D1085" s="22"/>
      <c r="E1085" s="33">
        <v>45497</v>
      </c>
    </row>
    <row r="1086" spans="2:5" x14ac:dyDescent="0.3">
      <c r="B1086" s="22">
        <v>237.51</v>
      </c>
      <c r="C1086" s="22"/>
      <c r="D1086" s="22"/>
      <c r="E1086" s="33">
        <v>45498</v>
      </c>
    </row>
    <row r="1087" spans="2:5" x14ac:dyDescent="0.3">
      <c r="B1087" s="22">
        <v>240.50899999999999</v>
      </c>
      <c r="C1087" s="22"/>
      <c r="D1087" s="22"/>
      <c r="E1087" s="33">
        <v>45499</v>
      </c>
    </row>
    <row r="1088" spans="2:5" x14ac:dyDescent="0.3">
      <c r="B1088" s="22">
        <v>240.172</v>
      </c>
      <c r="C1088" s="22"/>
      <c r="D1088" s="22"/>
      <c r="E1088" s="33">
        <v>45502</v>
      </c>
    </row>
    <row r="1089" spans="2:5" x14ac:dyDescent="0.3">
      <c r="B1089" s="22">
        <v>240.10900000000001</v>
      </c>
      <c r="C1089" s="22"/>
      <c r="D1089" s="22"/>
      <c r="E1089" s="33">
        <v>45503</v>
      </c>
    </row>
    <row r="1090" spans="2:5" x14ac:dyDescent="0.3">
      <c r="B1090" s="22">
        <v>240.96100000000001</v>
      </c>
      <c r="C1090" s="22"/>
      <c r="D1090" s="22"/>
      <c r="E1090" s="33">
        <v>45504</v>
      </c>
    </row>
    <row r="1091" spans="2:5" x14ac:dyDescent="0.3">
      <c r="B1091" s="22">
        <v>240.98599999999999</v>
      </c>
      <c r="C1091" s="22"/>
      <c r="D1091" s="22"/>
      <c r="E1091" s="33">
        <v>45505</v>
      </c>
    </row>
    <row r="1092" spans="2:5" x14ac:dyDescent="0.3">
      <c r="B1092" s="22">
        <v>238.79300000000001</v>
      </c>
      <c r="C1092" s="22"/>
      <c r="D1092" s="22"/>
      <c r="E1092" s="33">
        <v>45506</v>
      </c>
    </row>
    <row r="1093" spans="2:5" x14ac:dyDescent="0.3">
      <c r="B1093" s="22">
        <v>233.53899999999999</v>
      </c>
      <c r="C1093" s="22"/>
      <c r="D1093" s="22"/>
      <c r="E1093" s="33">
        <v>45509</v>
      </c>
    </row>
    <row r="1094" spans="2:5" x14ac:dyDescent="0.3">
      <c r="B1094" s="22">
        <v>232.785</v>
      </c>
      <c r="C1094" s="22"/>
      <c r="D1094" s="22"/>
      <c r="E1094" s="33">
        <v>45510</v>
      </c>
    </row>
    <row r="1095" spans="2:5" x14ac:dyDescent="0.3">
      <c r="B1095" s="22">
        <v>235.31</v>
      </c>
      <c r="C1095" s="22"/>
      <c r="D1095" s="22"/>
      <c r="E1095" s="33">
        <v>45511</v>
      </c>
    </row>
    <row r="1096" spans="2:5" x14ac:dyDescent="0.3">
      <c r="B1096" s="22">
        <v>234.87200000000001</v>
      </c>
      <c r="C1096" s="22"/>
      <c r="D1096" s="22"/>
      <c r="E1096" s="33">
        <v>45512</v>
      </c>
    </row>
    <row r="1097" spans="2:5" x14ac:dyDescent="0.3">
      <c r="B1097" s="22">
        <v>235.99700000000001</v>
      </c>
      <c r="C1097" s="22"/>
      <c r="D1097" s="22"/>
      <c r="E1097" s="33">
        <v>45513</v>
      </c>
    </row>
    <row r="1098" spans="2:5" x14ac:dyDescent="0.3">
      <c r="B1098" s="22">
        <v>236.53800000000001</v>
      </c>
      <c r="C1098" s="22"/>
      <c r="D1098" s="22"/>
      <c r="E1098" s="33">
        <v>45516</v>
      </c>
    </row>
    <row r="1099" spans="2:5" x14ac:dyDescent="0.3">
      <c r="B1099" s="22">
        <v>234.90600000000001</v>
      </c>
      <c r="C1099" s="22"/>
      <c r="D1099" s="22"/>
      <c r="E1099" s="33">
        <v>45517</v>
      </c>
    </row>
    <row r="1100" spans="2:5" x14ac:dyDescent="0.3">
      <c r="B1100" s="22">
        <v>234.51499999999999</v>
      </c>
      <c r="C1100" s="22"/>
      <c r="D1100" s="22"/>
      <c r="E1100" s="33">
        <v>45518</v>
      </c>
    </row>
    <row r="1101" spans="2:5" x14ac:dyDescent="0.3">
      <c r="B1101" s="22">
        <v>237.84299999999999</v>
      </c>
      <c r="C1101" s="22"/>
      <c r="D1101" s="22"/>
      <c r="E1101" s="33">
        <v>45520</v>
      </c>
    </row>
    <row r="1102" spans="2:5" x14ac:dyDescent="0.3">
      <c r="B1102" s="22">
        <v>237.756</v>
      </c>
      <c r="C1102" s="22"/>
      <c r="D1102" s="22"/>
      <c r="E1102" s="33">
        <v>45523</v>
      </c>
    </row>
    <row r="1103" spans="2:5" x14ac:dyDescent="0.3">
      <c r="B1103" s="22">
        <v>238.88399999999999</v>
      </c>
      <c r="C1103" s="22"/>
      <c r="D1103" s="22"/>
      <c r="E1103" s="33">
        <v>45524</v>
      </c>
    </row>
    <row r="1104" spans="2:5" x14ac:dyDescent="0.3">
      <c r="B1104" s="22">
        <v>239.92400000000001</v>
      </c>
      <c r="C1104" s="22"/>
      <c r="D1104" s="22"/>
      <c r="E1104" s="33">
        <v>45525</v>
      </c>
    </row>
    <row r="1105" spans="2:5" x14ac:dyDescent="0.3">
      <c r="B1105" s="22">
        <v>240.536</v>
      </c>
      <c r="C1105" s="22"/>
      <c r="D1105" s="22"/>
      <c r="E1105" s="33">
        <v>45526</v>
      </c>
    </row>
    <row r="1106" spans="2:5" x14ac:dyDescent="0.3">
      <c r="B1106" s="22">
        <v>240.428</v>
      </c>
      <c r="C1106" s="22"/>
      <c r="D1106" s="22"/>
      <c r="E1106" s="33">
        <v>45527</v>
      </c>
    </row>
    <row r="1107" spans="2:5" x14ac:dyDescent="0.3">
      <c r="B1107" s="22">
        <v>241.90799999999999</v>
      </c>
      <c r="C1107" s="22"/>
      <c r="D1107" s="22"/>
      <c r="E1107" s="33">
        <v>45530</v>
      </c>
    </row>
    <row r="1108" spans="2:5" x14ac:dyDescent="0.3">
      <c r="B1108" s="22">
        <v>242.53899999999999</v>
      </c>
      <c r="C1108" s="22"/>
      <c r="D1108" s="22"/>
      <c r="E1108" s="33">
        <v>45531</v>
      </c>
    </row>
    <row r="1109" spans="2:5" x14ac:dyDescent="0.3">
      <c r="B1109" s="22">
        <v>242.589</v>
      </c>
      <c r="C1109" s="22"/>
      <c r="D1109" s="22"/>
      <c r="E1109" s="33">
        <v>45532</v>
      </c>
    </row>
    <row r="1110" spans="2:5" x14ac:dyDescent="0.3">
      <c r="B1110" s="22">
        <v>242.81399999999999</v>
      </c>
      <c r="C1110" s="22"/>
      <c r="D1110" s="22"/>
      <c r="E1110" s="33">
        <v>45533</v>
      </c>
    </row>
    <row r="1111" spans="2:5" x14ac:dyDescent="0.3">
      <c r="B1111" s="22">
        <v>244.773</v>
      </c>
      <c r="C1111" s="22"/>
      <c r="D1111" s="22"/>
      <c r="E1111" s="33">
        <v>45534</v>
      </c>
    </row>
    <row r="1112" spans="2:5" x14ac:dyDescent="0.3">
      <c r="B1112" s="22">
        <v>245.048</v>
      </c>
      <c r="C1112" s="22"/>
      <c r="D1112" s="22"/>
      <c r="E1112" s="33">
        <v>45537</v>
      </c>
    </row>
    <row r="1113" spans="2:5" x14ac:dyDescent="0.3">
      <c r="B1113" s="22">
        <v>245.815</v>
      </c>
      <c r="C1113" s="22"/>
      <c r="D1113" s="22"/>
      <c r="E1113" s="33">
        <v>45538</v>
      </c>
    </row>
    <row r="1114" spans="2:5" x14ac:dyDescent="0.3">
      <c r="B1114" s="22">
        <v>246.065</v>
      </c>
      <c r="C1114" s="22"/>
      <c r="D1114" s="22"/>
      <c r="E1114" s="33">
        <v>45539</v>
      </c>
    </row>
    <row r="1115" spans="2:5" x14ac:dyDescent="0.3">
      <c r="B1115" s="22">
        <v>245.99700000000001</v>
      </c>
      <c r="C1115" s="22"/>
      <c r="D1115" s="22"/>
      <c r="E1115" s="33">
        <v>45540</v>
      </c>
    </row>
    <row r="1116" spans="2:5" x14ac:dyDescent="0.3">
      <c r="B1116" s="22">
        <v>243.78899999999999</v>
      </c>
      <c r="C1116" s="22"/>
      <c r="D1116" s="22"/>
      <c r="E1116" s="33">
        <v>45541</v>
      </c>
    </row>
    <row r="1117" spans="2:5" x14ac:dyDescent="0.3">
      <c r="B1117" s="22">
        <v>244.214</v>
      </c>
      <c r="C1117" s="22"/>
      <c r="D1117" s="22"/>
      <c r="E1117" s="33">
        <v>45544</v>
      </c>
    </row>
    <row r="1118" spans="2:5" x14ac:dyDescent="0.3">
      <c r="B1118" s="22">
        <v>246.44200000000001</v>
      </c>
      <c r="C1118" s="22"/>
      <c r="D1118" s="22"/>
      <c r="E1118" s="33">
        <v>45545</v>
      </c>
    </row>
    <row r="1119" spans="2:5" x14ac:dyDescent="0.3">
      <c r="B1119" s="22">
        <v>245.96100000000001</v>
      </c>
      <c r="C1119" s="22"/>
      <c r="D1119" s="22"/>
      <c r="E1119" s="33">
        <v>45546</v>
      </c>
    </row>
    <row r="1120" spans="2:5" x14ac:dyDescent="0.3">
      <c r="B1120" s="22">
        <v>249.102</v>
      </c>
      <c r="C1120" s="22"/>
      <c r="D1120" s="22"/>
      <c r="E1120" s="33">
        <v>45547</v>
      </c>
    </row>
    <row r="1121" spans="2:5" x14ac:dyDescent="0.3">
      <c r="B1121" s="22">
        <v>248.79</v>
      </c>
      <c r="C1121" s="22"/>
      <c r="D1121" s="22"/>
      <c r="E1121" s="33">
        <v>45548</v>
      </c>
    </row>
    <row r="1122" spans="2:5" x14ac:dyDescent="0.3">
      <c r="B1122" s="22">
        <v>248.90700000000001</v>
      </c>
      <c r="C1122" s="22"/>
      <c r="D1122" s="22"/>
      <c r="E1122" s="33">
        <v>45551</v>
      </c>
    </row>
    <row r="1123" spans="2:5" x14ac:dyDescent="0.3">
      <c r="B1123" s="22">
        <v>250.14500000000001</v>
      </c>
      <c r="C1123" s="22"/>
      <c r="D1123" s="22"/>
      <c r="E1123" s="33">
        <v>45552</v>
      </c>
    </row>
    <row r="1124" spans="2:5" x14ac:dyDescent="0.3">
      <c r="B1124" s="22">
        <v>249.87799999999999</v>
      </c>
      <c r="C1124" s="22"/>
      <c r="D1124" s="22"/>
      <c r="E1124" s="33">
        <v>45553</v>
      </c>
    </row>
    <row r="1125" spans="2:5" x14ac:dyDescent="0.3">
      <c r="B1125" s="22">
        <v>249.971</v>
      </c>
      <c r="C1125" s="22"/>
      <c r="D1125" s="22"/>
      <c r="E1125" s="33">
        <v>45554</v>
      </c>
    </row>
    <row r="1126" spans="2:5" x14ac:dyDescent="0.3">
      <c r="B1126" s="22">
        <v>252.92500000000001</v>
      </c>
      <c r="C1126" s="22"/>
      <c r="D1126" s="22"/>
      <c r="E1126" s="33">
        <v>45555</v>
      </c>
    </row>
    <row r="1127" spans="2:5" x14ac:dyDescent="0.3">
      <c r="B1127" s="22">
        <v>255.161</v>
      </c>
      <c r="C1127" s="22"/>
      <c r="D1127" s="22"/>
      <c r="E1127" s="33">
        <v>45558</v>
      </c>
    </row>
    <row r="1128" spans="2:5" x14ac:dyDescent="0.3">
      <c r="B1128" s="22">
        <v>255.48500000000001</v>
      </c>
      <c r="C1128" s="22"/>
      <c r="D1128" s="22"/>
      <c r="E1128" s="33">
        <v>45559</v>
      </c>
    </row>
    <row r="1129" spans="2:5" x14ac:dyDescent="0.3">
      <c r="B1129" s="22">
        <v>256.31200000000001</v>
      </c>
      <c r="C1129" s="22"/>
      <c r="D1129" s="22"/>
      <c r="E1129" s="33">
        <v>45560</v>
      </c>
    </row>
    <row r="1130" spans="2:5" x14ac:dyDescent="0.3">
      <c r="B1130" s="22">
        <v>257.358</v>
      </c>
      <c r="C1130" s="22"/>
      <c r="D1130" s="22"/>
      <c r="E1130" s="33">
        <v>45561</v>
      </c>
    </row>
    <row r="1131" spans="2:5" x14ac:dyDescent="0.3">
      <c r="B1131" s="22">
        <v>256.64600000000002</v>
      </c>
      <c r="C1131" s="22"/>
      <c r="D1131" s="22"/>
      <c r="E1131" s="33">
        <v>45562</v>
      </c>
    </row>
    <row r="1132" spans="2:5" x14ac:dyDescent="0.3">
      <c r="B1132" s="22">
        <v>253.29300000000001</v>
      </c>
      <c r="C1132" s="22"/>
      <c r="D1132" s="22"/>
      <c r="E1132" s="33">
        <v>45565</v>
      </c>
    </row>
    <row r="1133" spans="2:5" x14ac:dyDescent="0.3">
      <c r="B1133" s="22">
        <v>253.48500000000001</v>
      </c>
      <c r="C1133" s="22"/>
      <c r="D1133" s="22"/>
      <c r="E1133" s="33">
        <v>45566</v>
      </c>
    </row>
    <row r="1134" spans="2:5" x14ac:dyDescent="0.3">
      <c r="B1134" s="22">
        <v>248.5</v>
      </c>
      <c r="C1134" s="22"/>
      <c r="D1134" s="22"/>
      <c r="E1134" s="33">
        <v>45568</v>
      </c>
    </row>
    <row r="1135" spans="2:5" x14ac:dyDescent="0.3">
      <c r="B1135" s="22">
        <v>247.05</v>
      </c>
      <c r="C1135" s="22"/>
      <c r="D1135" s="22"/>
      <c r="E1135" s="33">
        <v>45569</v>
      </c>
    </row>
    <row r="1136" spans="2:5" x14ac:dyDescent="0.3">
      <c r="B1136" s="22">
        <v>244.20699999999999</v>
      </c>
      <c r="C1136" s="22"/>
      <c r="D1136" s="22"/>
      <c r="E1136" s="33">
        <v>45572</v>
      </c>
    </row>
    <row r="1137" spans="2:5" x14ac:dyDescent="0.3">
      <c r="B1137" s="22">
        <v>246.018</v>
      </c>
      <c r="C1137" s="22"/>
      <c r="D1137" s="22"/>
      <c r="E1137" s="33">
        <v>45573</v>
      </c>
    </row>
    <row r="1138" spans="2:5" x14ac:dyDescent="0.3">
      <c r="B1138" s="22">
        <v>247.97200000000001</v>
      </c>
      <c r="C1138" s="22"/>
      <c r="D1138" s="22"/>
      <c r="E1138" s="33">
        <v>45574</v>
      </c>
    </row>
    <row r="1139" spans="2:5" x14ac:dyDescent="0.3">
      <c r="B1139" s="22">
        <v>248.59399999999999</v>
      </c>
      <c r="C1139" s="22"/>
      <c r="D1139" s="22"/>
      <c r="E1139" s="33">
        <v>45575</v>
      </c>
    </row>
    <row r="1140" spans="2:5" x14ac:dyDescent="0.3">
      <c r="B1140" s="22">
        <v>248.33</v>
      </c>
      <c r="C1140" s="22"/>
      <c r="D1140" s="22"/>
      <c r="E1140" s="33">
        <v>45576</v>
      </c>
    </row>
    <row r="1141" spans="2:5" x14ac:dyDescent="0.3">
      <c r="B1141" s="22">
        <v>249.26599999999999</v>
      </c>
      <c r="C1141" s="22"/>
      <c r="D1141" s="22"/>
      <c r="E1141" s="33">
        <v>45579</v>
      </c>
    </row>
    <row r="1142" spans="2:5" x14ac:dyDescent="0.3">
      <c r="B1142" s="22">
        <v>249.36099999999999</v>
      </c>
      <c r="C1142" s="22"/>
      <c r="D1142" s="22"/>
      <c r="E1142" s="33">
        <v>45580</v>
      </c>
    </row>
    <row r="1143" spans="2:5" x14ac:dyDescent="0.3">
      <c r="B1143" s="22">
        <v>248.88200000000001</v>
      </c>
      <c r="C1143" s="22"/>
      <c r="D1143" s="22"/>
      <c r="E1143" s="33">
        <v>45581</v>
      </c>
    </row>
    <row r="1144" spans="2:5" x14ac:dyDescent="0.3">
      <c r="B1144" s="22">
        <v>245.45400000000001</v>
      </c>
      <c r="C1144" s="22"/>
      <c r="D1144" s="22"/>
      <c r="E1144" s="33">
        <v>45582</v>
      </c>
    </row>
    <row r="1145" spans="2:5" x14ac:dyDescent="0.3">
      <c r="B1145" s="22">
        <v>247.69499999999999</v>
      </c>
      <c r="C1145" s="22"/>
      <c r="D1145" s="22"/>
      <c r="E1145" s="33">
        <v>45583</v>
      </c>
    </row>
    <row r="1146" spans="2:5" x14ac:dyDescent="0.3">
      <c r="B1146" s="22">
        <v>247.203</v>
      </c>
      <c r="C1146" s="22"/>
      <c r="D1146" s="22"/>
      <c r="E1146" s="33">
        <v>45586</v>
      </c>
    </row>
    <row r="1147" spans="2:5" x14ac:dyDescent="0.3">
      <c r="B1147" s="22">
        <v>244.315</v>
      </c>
      <c r="C1147" s="22"/>
      <c r="D1147" s="22"/>
      <c r="E1147" s="33">
        <v>45587</v>
      </c>
    </row>
    <row r="1148" spans="2:5" x14ac:dyDescent="0.3">
      <c r="B1148" s="22">
        <v>244.32599999999999</v>
      </c>
      <c r="C1148" s="22"/>
      <c r="D1148" s="22"/>
      <c r="E1148" s="33">
        <v>45588</v>
      </c>
    </row>
    <row r="1149" spans="2:5" x14ac:dyDescent="0.3">
      <c r="B1149" s="22">
        <v>244.99199999999999</v>
      </c>
      <c r="C1149" s="22"/>
      <c r="D1149" s="22"/>
      <c r="E1149" s="33">
        <v>45589</v>
      </c>
    </row>
    <row r="1150" spans="2:5" x14ac:dyDescent="0.3">
      <c r="B1150" s="22">
        <v>243.90899999999999</v>
      </c>
      <c r="C1150" s="22"/>
      <c r="D1150" s="22"/>
      <c r="E1150" s="33">
        <v>45590</v>
      </c>
    </row>
    <row r="1151" spans="2:5" x14ac:dyDescent="0.3">
      <c r="B1151" s="22">
        <v>244.62899999999999</v>
      </c>
      <c r="C1151" s="22"/>
      <c r="D1151" s="22"/>
      <c r="E1151" s="33">
        <v>45593</v>
      </c>
    </row>
    <row r="1152" spans="2:5" x14ac:dyDescent="0.3">
      <c r="B1152" s="22">
        <v>245.928</v>
      </c>
      <c r="C1152" s="22"/>
      <c r="D1152" s="22"/>
      <c r="E1152" s="33">
        <v>45594</v>
      </c>
    </row>
    <row r="1153" spans="2:5" x14ac:dyDescent="0.3">
      <c r="B1153" s="22">
        <v>244.53700000000001</v>
      </c>
      <c r="C1153" s="22"/>
      <c r="D1153" s="22"/>
      <c r="E1153" s="33">
        <v>45595</v>
      </c>
    </row>
    <row r="1154" spans="2:5" x14ac:dyDescent="0.3">
      <c r="B1154" s="22">
        <v>244.499</v>
      </c>
      <c r="C1154" s="22"/>
      <c r="D1154" s="22"/>
      <c r="E1154" s="33">
        <v>45596</v>
      </c>
    </row>
    <row r="1155" spans="2:5" x14ac:dyDescent="0.3">
      <c r="B1155" s="22">
        <v>243.179</v>
      </c>
      <c r="C1155" s="22"/>
      <c r="D1155" s="22"/>
      <c r="E1155" s="33">
        <v>45600</v>
      </c>
    </row>
    <row r="1156" spans="2:5" x14ac:dyDescent="0.3">
      <c r="B1156" s="22">
        <v>245.88900000000001</v>
      </c>
      <c r="C1156" s="22"/>
      <c r="D1156" s="22"/>
      <c r="E1156" s="33">
        <v>45601</v>
      </c>
    </row>
    <row r="1157" spans="2:5" x14ac:dyDescent="0.3">
      <c r="B1157" s="22">
        <v>247.905</v>
      </c>
      <c r="C1157" s="22"/>
      <c r="D1157" s="22"/>
      <c r="E1157" s="33">
        <v>45602</v>
      </c>
    </row>
    <row r="1158" spans="2:5" x14ac:dyDescent="0.3">
      <c r="B1158" s="22">
        <v>246.881</v>
      </c>
      <c r="C1158" s="22"/>
      <c r="D1158" s="22"/>
      <c r="E1158" s="33">
        <v>45603</v>
      </c>
    </row>
    <row r="1159" spans="2:5" x14ac:dyDescent="0.3">
      <c r="B1159" s="22">
        <v>246.20400000000001</v>
      </c>
      <c r="C1159" s="22"/>
      <c r="D1159" s="22"/>
      <c r="E1159" s="33">
        <v>45604</v>
      </c>
    </row>
    <row r="1160" spans="2:5" x14ac:dyDescent="0.3">
      <c r="B1160" s="22">
        <v>245.96899999999999</v>
      </c>
      <c r="C1160" s="22"/>
      <c r="D1160" s="22"/>
      <c r="E1160" s="33">
        <v>45607</v>
      </c>
    </row>
    <row r="1161" spans="2:5" x14ac:dyDescent="0.3">
      <c r="B1161" s="22">
        <v>242.90899999999999</v>
      </c>
      <c r="C1161" s="22"/>
      <c r="D1161" s="22"/>
      <c r="E1161" s="33">
        <v>45608</v>
      </c>
    </row>
    <row r="1162" spans="2:5" x14ac:dyDescent="0.3">
      <c r="B1162" s="22">
        <v>239.536</v>
      </c>
      <c r="C1162" s="22"/>
      <c r="D1162" s="22"/>
      <c r="E1162" s="33">
        <v>45609</v>
      </c>
    </row>
    <row r="1163" spans="2:5" x14ac:dyDescent="0.3">
      <c r="B1163" s="22">
        <v>240.24799999999999</v>
      </c>
      <c r="C1163" s="22"/>
      <c r="D1163" s="22"/>
      <c r="E1163" s="33">
        <v>45610</v>
      </c>
    </row>
    <row r="1164" spans="2:5" x14ac:dyDescent="0.3">
      <c r="B1164" s="22">
        <v>239.857</v>
      </c>
      <c r="C1164" s="22"/>
      <c r="D1164" s="22"/>
      <c r="E1164" s="33">
        <v>45614</v>
      </c>
    </row>
    <row r="1165" spans="2:5" x14ac:dyDescent="0.3">
      <c r="B1165" s="22">
        <v>240.42699999999999</v>
      </c>
      <c r="C1165" s="22"/>
      <c r="D1165" s="22"/>
      <c r="E1165" s="33">
        <v>45615</v>
      </c>
    </row>
    <row r="1166" spans="2:5" x14ac:dyDescent="0.3">
      <c r="B1166" s="22">
        <v>239.755</v>
      </c>
      <c r="C1166" s="22"/>
      <c r="D1166" s="22"/>
      <c r="E1166" s="33">
        <v>45617</v>
      </c>
    </row>
    <row r="1167" spans="2:5" x14ac:dyDescent="0.3">
      <c r="B1167" s="22">
        <v>242.46899999999999</v>
      </c>
      <c r="C1167" s="22"/>
      <c r="D1167" s="22"/>
      <c r="E1167" s="33">
        <v>45618</v>
      </c>
    </row>
    <row r="1168" spans="2:5" x14ac:dyDescent="0.3">
      <c r="B1168" s="22">
        <v>245.53299999999999</v>
      </c>
      <c r="C1168" s="22"/>
      <c r="D1168" s="22"/>
      <c r="E1168" s="33">
        <v>45621</v>
      </c>
    </row>
    <row r="1169" spans="2:5" x14ac:dyDescent="0.3">
      <c r="B1169" s="22">
        <v>245.904</v>
      </c>
      <c r="C1169" s="22"/>
      <c r="D1169" s="22"/>
      <c r="E1169" s="33">
        <v>45622</v>
      </c>
    </row>
    <row r="1170" spans="2:5" x14ac:dyDescent="0.3">
      <c r="B1170" s="22">
        <v>246.32499999999999</v>
      </c>
      <c r="C1170" s="22"/>
      <c r="D1170" s="22"/>
      <c r="E1170" s="33">
        <v>45623</v>
      </c>
    </row>
    <row r="1171" spans="2:5" x14ac:dyDescent="0.3">
      <c r="B1171" s="22">
        <v>244.054</v>
      </c>
      <c r="C1171" s="22"/>
      <c r="D1171" s="22"/>
      <c r="E1171" s="33">
        <v>45624</v>
      </c>
    </row>
    <row r="1172" spans="2:5" x14ac:dyDescent="0.3">
      <c r="B1172" s="22">
        <v>246.505</v>
      </c>
      <c r="C1172" s="22"/>
      <c r="D1172" s="22"/>
      <c r="E1172" s="33">
        <v>45625</v>
      </c>
    </row>
    <row r="1173" spans="2:5" x14ac:dyDescent="0.3">
      <c r="B1173" s="22">
        <v>247.19200000000001</v>
      </c>
      <c r="C1173" s="22"/>
      <c r="D1173" s="22"/>
      <c r="E1173" s="33">
        <v>45628</v>
      </c>
    </row>
    <row r="1174" spans="2:5" x14ac:dyDescent="0.3">
      <c r="B1174" s="22">
        <v>248.07400000000001</v>
      </c>
      <c r="C1174" s="22"/>
      <c r="D1174" s="22"/>
      <c r="E1174" s="33">
        <v>45629</v>
      </c>
    </row>
    <row r="1175" spans="2:5" x14ac:dyDescent="0.3">
      <c r="B1175" s="22">
        <v>248.00700000000001</v>
      </c>
      <c r="C1175" s="22"/>
      <c r="D1175" s="22"/>
      <c r="E1175" s="33">
        <v>45630</v>
      </c>
    </row>
    <row r="1176" spans="2:5" x14ac:dyDescent="0.3">
      <c r="B1176" s="22">
        <v>249.40100000000001</v>
      </c>
      <c r="C1176" s="22"/>
      <c r="D1176" s="22"/>
      <c r="E1176" s="33">
        <v>45631</v>
      </c>
    </row>
    <row r="1177" spans="2:5" x14ac:dyDescent="0.3">
      <c r="B1177" s="22">
        <v>249.65700000000001</v>
      </c>
      <c r="C1177" s="22"/>
      <c r="D1177" s="22"/>
      <c r="E1177" s="33">
        <v>45632</v>
      </c>
    </row>
    <row r="1178" spans="2:5" x14ac:dyDescent="0.3">
      <c r="B1178" s="22">
        <v>248.87899999999999</v>
      </c>
      <c r="C1178" s="22"/>
      <c r="D1178" s="22"/>
      <c r="E1178" s="33">
        <v>45635</v>
      </c>
    </row>
    <row r="1179" spans="2:5" x14ac:dyDescent="0.3">
      <c r="B1179" s="22">
        <v>248.952</v>
      </c>
      <c r="C1179" s="22"/>
      <c r="D1179" s="22"/>
      <c r="E1179" s="33">
        <v>45636</v>
      </c>
    </row>
    <row r="1180" spans="2:5" x14ac:dyDescent="0.3">
      <c r="B1180" s="22">
        <v>248.67699999999999</v>
      </c>
      <c r="C1180" s="22"/>
      <c r="D1180" s="22"/>
      <c r="E1180" s="33">
        <v>45637</v>
      </c>
    </row>
    <row r="1181" spans="2:5" x14ac:dyDescent="0.3">
      <c r="B1181" s="22">
        <v>247.482</v>
      </c>
      <c r="C1181" s="22"/>
      <c r="D1181" s="22"/>
      <c r="E1181" s="33">
        <v>45638</v>
      </c>
    </row>
    <row r="1182" spans="2:5" x14ac:dyDescent="0.3">
      <c r="B1182" s="22">
        <v>248.54300000000001</v>
      </c>
      <c r="C1182" s="22"/>
      <c r="D1182" s="22"/>
      <c r="E1182" s="33">
        <v>45639</v>
      </c>
    </row>
    <row r="1183" spans="2:5" x14ac:dyDescent="0.3">
      <c r="B1183" s="22">
        <v>248.523</v>
      </c>
      <c r="C1183" s="22"/>
      <c r="D1183" s="22"/>
      <c r="E1183" s="33">
        <v>45642</v>
      </c>
    </row>
    <row r="1184" spans="2:5" x14ac:dyDescent="0.3">
      <c r="B1184" s="22">
        <v>246.68899999999999</v>
      </c>
      <c r="C1184" s="22"/>
      <c r="D1184" s="22"/>
      <c r="E1184" s="33">
        <v>45643</v>
      </c>
    </row>
    <row r="1185" spans="2:5" x14ac:dyDescent="0.3">
      <c r="B1185" s="22">
        <v>245.54900000000001</v>
      </c>
      <c r="C1185" s="22"/>
      <c r="D1185" s="22"/>
      <c r="E1185" s="33">
        <v>45644</v>
      </c>
    </row>
    <row r="1186" spans="2:5" x14ac:dyDescent="0.3">
      <c r="B1186" s="22">
        <v>244.55199999999999</v>
      </c>
      <c r="C1186" s="22"/>
      <c r="D1186" s="22"/>
      <c r="E1186" s="33">
        <v>45645</v>
      </c>
    </row>
    <row r="1187" spans="2:5" x14ac:dyDescent="0.3">
      <c r="B1187" s="22">
        <v>241.29499999999999</v>
      </c>
      <c r="C1187" s="22"/>
      <c r="D1187" s="22"/>
      <c r="E1187" s="33">
        <v>45646</v>
      </c>
    </row>
    <row r="1188" spans="2:5" x14ac:dyDescent="0.3">
      <c r="B1188" s="22">
        <v>242.26300000000001</v>
      </c>
      <c r="C1188" s="22"/>
      <c r="D1188" s="22"/>
      <c r="E1188" s="33">
        <v>45649</v>
      </c>
    </row>
    <row r="1189" spans="2:5" x14ac:dyDescent="0.3">
      <c r="B1189" s="22">
        <v>241.994</v>
      </c>
      <c r="C1189" s="22"/>
      <c r="D1189" s="22"/>
      <c r="E1189" s="33">
        <v>45650</v>
      </c>
    </row>
    <row r="1190" spans="2:5" x14ac:dyDescent="0.3">
      <c r="B1190" s="22">
        <v>242.345</v>
      </c>
      <c r="C1190" s="22"/>
      <c r="D1190" s="22"/>
      <c r="E1190" s="33">
        <v>45652</v>
      </c>
    </row>
    <row r="1191" spans="2:5" x14ac:dyDescent="0.3">
      <c r="B1191" s="22">
        <v>243.36500000000001</v>
      </c>
      <c r="C1191" s="22"/>
      <c r="D1191" s="22"/>
      <c r="E1191" s="33">
        <v>45653</v>
      </c>
    </row>
    <row r="1192" spans="2:5" x14ac:dyDescent="0.3">
      <c r="B1192" s="22">
        <v>242.482</v>
      </c>
      <c r="C1192" s="22"/>
      <c r="D1192" s="22"/>
      <c r="E1192" s="33">
        <v>45656</v>
      </c>
    </row>
    <row r="1193" spans="2:5" x14ac:dyDescent="0.3">
      <c r="B1193" s="22">
        <v>242.70699999999999</v>
      </c>
      <c r="C1193" s="22"/>
      <c r="D1193" s="22"/>
      <c r="E1193" s="33">
        <v>45657</v>
      </c>
    </row>
    <row r="1194" spans="2:5" x14ac:dyDescent="0.3">
      <c r="B1194" s="22">
        <v>243.517</v>
      </c>
      <c r="C1194" s="22"/>
      <c r="D1194" s="22"/>
      <c r="E1194" s="33">
        <v>45658</v>
      </c>
    </row>
    <row r="1195" spans="2:5" x14ac:dyDescent="0.3">
      <c r="B1195" s="22">
        <v>246.374</v>
      </c>
      <c r="C1195" s="22"/>
      <c r="D1195" s="22"/>
      <c r="E1195" s="33">
        <v>45659</v>
      </c>
    </row>
    <row r="1196" spans="2:5" x14ac:dyDescent="0.3">
      <c r="B1196" s="22">
        <v>244.81700000000001</v>
      </c>
      <c r="C1196" s="22"/>
      <c r="D1196" s="22"/>
      <c r="E1196" s="33">
        <v>45660</v>
      </c>
    </row>
    <row r="1197" spans="2:5" x14ac:dyDescent="0.3">
      <c r="B1197" s="22">
        <v>242.047</v>
      </c>
      <c r="C1197" s="22"/>
      <c r="D1197" s="22"/>
      <c r="E1197" s="33">
        <v>45663</v>
      </c>
    </row>
    <row r="1198" spans="2:5" x14ac:dyDescent="0.3">
      <c r="B1198" s="22">
        <v>242.625</v>
      </c>
      <c r="C1198" s="22"/>
      <c r="D1198" s="22"/>
      <c r="E1198" s="33">
        <v>45664</v>
      </c>
    </row>
    <row r="1199" spans="2:5" x14ac:dyDescent="0.3">
      <c r="B1199" s="22">
        <v>241.10499999999999</v>
      </c>
      <c r="C1199" s="22"/>
      <c r="D1199" s="22"/>
      <c r="E1199" s="33">
        <v>45665</v>
      </c>
    </row>
    <row r="1200" spans="2:5" x14ac:dyDescent="0.3">
      <c r="B1200" s="22">
        <v>240.13200000000001</v>
      </c>
      <c r="C1200" s="22"/>
      <c r="D1200" s="22"/>
      <c r="E1200" s="33">
        <v>45666</v>
      </c>
    </row>
    <row r="1201" spans="2:5" x14ac:dyDescent="0.3">
      <c r="B1201" s="22">
        <v>237.63499999999999</v>
      </c>
      <c r="C1201" s="22"/>
      <c r="D1201" s="22"/>
      <c r="E1201" s="33">
        <v>45667</v>
      </c>
    </row>
    <row r="1202" spans="2:5" x14ac:dyDescent="0.3">
      <c r="B1202" s="22">
        <v>234.97200000000001</v>
      </c>
      <c r="C1202" s="22"/>
      <c r="D1202" s="22"/>
      <c r="E1202" s="33">
        <v>45670</v>
      </c>
    </row>
    <row r="1203" spans="2:5" x14ac:dyDescent="0.3">
      <c r="B1203" s="22">
        <v>235.982</v>
      </c>
      <c r="C1203" s="22"/>
      <c r="D1203" s="22"/>
      <c r="E1203" s="33">
        <v>45671</v>
      </c>
    </row>
    <row r="1204" spans="2:5" x14ac:dyDescent="0.3">
      <c r="B1204" s="22">
        <v>235.99600000000001</v>
      </c>
      <c r="C1204" s="22"/>
      <c r="D1204" s="22"/>
      <c r="E1204" s="33">
        <v>45672</v>
      </c>
    </row>
    <row r="1205" spans="2:5" x14ac:dyDescent="0.3">
      <c r="B1205" s="22">
        <v>237.57499999999999</v>
      </c>
      <c r="C1205" s="22"/>
      <c r="D1205" s="22"/>
      <c r="E1205" s="33">
        <v>45673</v>
      </c>
    </row>
    <row r="1206" spans="2:5" x14ac:dyDescent="0.3">
      <c r="B1206" s="22">
        <v>235.98500000000001</v>
      </c>
      <c r="C1206" s="22"/>
      <c r="D1206" s="22"/>
      <c r="E1206" s="33">
        <v>45674</v>
      </c>
    </row>
    <row r="1207" spans="2:5" x14ac:dyDescent="0.3">
      <c r="B1207" s="22">
        <v>237.28399999999999</v>
      </c>
      <c r="C1207" s="22"/>
      <c r="D1207" s="22"/>
      <c r="E1207" s="33">
        <v>45677</v>
      </c>
    </row>
    <row r="1208" spans="2:5" x14ac:dyDescent="0.3">
      <c r="B1208" s="22">
        <v>234.51400000000001</v>
      </c>
      <c r="C1208" s="22"/>
      <c r="D1208" s="22"/>
      <c r="E1208" s="33">
        <v>45678</v>
      </c>
    </row>
    <row r="1209" spans="2:5" x14ac:dyDescent="0.3">
      <c r="B1209" s="22">
        <v>234.749</v>
      </c>
      <c r="C1209" s="22"/>
      <c r="D1209" s="22"/>
      <c r="E1209" s="33">
        <v>45679</v>
      </c>
    </row>
    <row r="1210" spans="2:5" x14ac:dyDescent="0.3">
      <c r="B1210" s="22">
        <v>234.858</v>
      </c>
      <c r="C1210" s="22"/>
      <c r="D1210" s="22"/>
      <c r="E1210" s="33">
        <v>45680</v>
      </c>
    </row>
    <row r="1211" spans="2:5" x14ac:dyDescent="0.3">
      <c r="B1211" s="22">
        <v>233.208</v>
      </c>
      <c r="C1211" s="22"/>
      <c r="D1211" s="22"/>
      <c r="E1211" s="33">
        <v>45681</v>
      </c>
    </row>
    <row r="1212" spans="2:5" x14ac:dyDescent="0.3">
      <c r="B1212" s="22">
        <v>230.959</v>
      </c>
      <c r="C1212" s="22"/>
      <c r="D1212" s="22"/>
      <c r="E1212" s="33">
        <v>45684</v>
      </c>
    </row>
    <row r="1213" spans="2:5" x14ac:dyDescent="0.3">
      <c r="B1213" s="22">
        <v>232.71199999999999</v>
      </c>
      <c r="C1213" s="22"/>
      <c r="D1213" s="22"/>
      <c r="E1213" s="33">
        <v>45685</v>
      </c>
    </row>
    <row r="1214" spans="2:5" x14ac:dyDescent="0.3">
      <c r="B1214" s="22">
        <v>234.733</v>
      </c>
      <c r="C1214" s="22"/>
      <c r="D1214" s="22"/>
      <c r="E1214" s="33">
        <v>45686</v>
      </c>
    </row>
    <row r="1215" spans="2:5" x14ac:dyDescent="0.3">
      <c r="B1215" s="22">
        <v>235.405</v>
      </c>
      <c r="C1215" s="22"/>
      <c r="D1215" s="22"/>
      <c r="E1215" s="33">
        <v>45687</v>
      </c>
    </row>
    <row r="1216" spans="2:5" x14ac:dyDescent="0.3">
      <c r="B1216" s="22">
        <v>236.82900000000001</v>
      </c>
      <c r="C1216" s="22"/>
      <c r="D1216" s="22"/>
      <c r="E1216" s="33">
        <v>45688</v>
      </c>
    </row>
    <row r="1217" spans="2:5" x14ac:dyDescent="0.3">
      <c r="B1217" s="22">
        <v>237.77699999999999</v>
      </c>
      <c r="C1217" s="22"/>
      <c r="D1217" s="22"/>
      <c r="E1217" s="33">
        <v>45691</v>
      </c>
    </row>
    <row r="1218" spans="2:5" x14ac:dyDescent="0.3">
      <c r="B1218" s="22">
        <v>239.59299999999999</v>
      </c>
      <c r="C1218" s="22"/>
      <c r="D1218" s="22"/>
      <c r="E1218" s="33">
        <v>45692</v>
      </c>
    </row>
    <row r="1219" spans="2:5" x14ac:dyDescent="0.3">
      <c r="B1219" s="22">
        <v>239.86500000000001</v>
      </c>
      <c r="C1219" s="22"/>
      <c r="D1219" s="22"/>
      <c r="E1219" s="33">
        <v>45693</v>
      </c>
    </row>
    <row r="1220" spans="2:5" x14ac:dyDescent="0.3">
      <c r="B1220" s="22">
        <v>239.83</v>
      </c>
      <c r="C1220" s="22"/>
      <c r="D1220" s="22"/>
      <c r="E1220" s="33">
        <v>45694</v>
      </c>
    </row>
    <row r="1221" spans="2:5" x14ac:dyDescent="0.3">
      <c r="B1221" s="22">
        <v>240.26300000000001</v>
      </c>
      <c r="C1221" s="22"/>
      <c r="D1221" s="22"/>
      <c r="E1221" s="33">
        <v>45695</v>
      </c>
    </row>
    <row r="1222" spans="2:5" x14ac:dyDescent="0.3">
      <c r="B1222" s="22">
        <v>238.328</v>
      </c>
      <c r="C1222" s="22"/>
      <c r="D1222" s="22"/>
      <c r="E1222" s="33">
        <v>45698</v>
      </c>
    </row>
    <row r="1223" spans="2:5" x14ac:dyDescent="0.3">
      <c r="B1223" s="22">
        <v>234.86600000000001</v>
      </c>
      <c r="C1223" s="22"/>
      <c r="D1223" s="22"/>
      <c r="E1223" s="33">
        <v>45699</v>
      </c>
    </row>
    <row r="1224" spans="2:5" x14ac:dyDescent="0.3">
      <c r="B1224" s="22">
        <v>234.52</v>
      </c>
      <c r="C1224" s="22"/>
      <c r="D1224" s="22"/>
      <c r="E1224" s="33">
        <v>45700</v>
      </c>
    </row>
    <row r="1225" spans="2:5" x14ac:dyDescent="0.3">
      <c r="B1225" s="22">
        <v>234.821</v>
      </c>
      <c r="C1225" s="22"/>
      <c r="D1225" s="22"/>
      <c r="E1225" s="33">
        <v>45701</v>
      </c>
    </row>
    <row r="1226" spans="2:5" x14ac:dyDescent="0.3">
      <c r="B1226" s="22">
        <v>232.99799999999999</v>
      </c>
      <c r="C1226" s="22"/>
      <c r="D1226" s="22"/>
      <c r="E1226" s="33">
        <v>45702</v>
      </c>
    </row>
    <row r="1227" spans="2:5" x14ac:dyDescent="0.3">
      <c r="B1227" s="22">
        <v>233.65700000000001</v>
      </c>
      <c r="C1227" s="22"/>
      <c r="D1227" s="22"/>
      <c r="E1227" s="33">
        <v>45705</v>
      </c>
    </row>
    <row r="1228" spans="2:5" x14ac:dyDescent="0.3">
      <c r="B1228" s="22">
        <v>233.51499999999999</v>
      </c>
      <c r="C1228" s="22"/>
      <c r="D1228" s="22"/>
      <c r="E1228" s="33">
        <v>45706</v>
      </c>
    </row>
    <row r="1229" spans="2:5" x14ac:dyDescent="0.3">
      <c r="B1229" s="22">
        <v>234.65899999999999</v>
      </c>
      <c r="C1229" s="22"/>
      <c r="D1229" s="22"/>
      <c r="E1229" s="33">
        <v>45707</v>
      </c>
    </row>
    <row r="1230" spans="2:5" x14ac:dyDescent="0.3">
      <c r="B1230" s="22">
        <v>235.178</v>
      </c>
      <c r="C1230" s="22"/>
      <c r="D1230" s="22"/>
      <c r="E1230" s="33">
        <v>45708</v>
      </c>
    </row>
    <row r="1231" spans="2:5" x14ac:dyDescent="0.3">
      <c r="B1231" s="22">
        <v>234.18700000000001</v>
      </c>
      <c r="C1231" s="22"/>
      <c r="D1231" s="22"/>
      <c r="E1231" s="33">
        <v>45709</v>
      </c>
    </row>
    <row r="1232" spans="2:5" x14ac:dyDescent="0.3">
      <c r="B1232" s="22">
        <v>232.52699999999999</v>
      </c>
      <c r="C1232" s="22"/>
      <c r="D1232" s="22"/>
      <c r="E1232" s="33">
        <v>45712</v>
      </c>
    </row>
    <row r="1233" spans="2:5" x14ac:dyDescent="0.3">
      <c r="B1233" s="22">
        <v>232.589</v>
      </c>
      <c r="C1233" s="22"/>
      <c r="D1233" s="22"/>
      <c r="E1233" s="33">
        <v>45713</v>
      </c>
    </row>
    <row r="1234" spans="2:5" x14ac:dyDescent="0.3">
      <c r="B1234" s="22">
        <v>231.529</v>
      </c>
      <c r="C1234" s="22"/>
      <c r="D1234" s="22"/>
      <c r="E1234" s="33">
        <v>45715</v>
      </c>
    </row>
    <row r="1235" spans="2:5" x14ac:dyDescent="0.3">
      <c r="B1235" s="22">
        <v>228.07300000000001</v>
      </c>
      <c r="C1235" s="22"/>
      <c r="D1235" s="22"/>
      <c r="E1235" s="33">
        <v>45716</v>
      </c>
    </row>
    <row r="1236" spans="2:5" x14ac:dyDescent="0.3">
      <c r="B1236" s="22">
        <v>228.04599999999999</v>
      </c>
      <c r="C1236" s="22"/>
      <c r="D1236" s="22"/>
      <c r="E1236" s="33">
        <v>45719</v>
      </c>
    </row>
    <row r="1237" spans="2:5" x14ac:dyDescent="0.3">
      <c r="B1237" s="22">
        <v>227.56899999999999</v>
      </c>
      <c r="C1237" s="22"/>
      <c r="D1237" s="22"/>
      <c r="E1237" s="33">
        <v>45720</v>
      </c>
    </row>
    <row r="1238" spans="2:5" x14ac:dyDescent="0.3">
      <c r="B1238" s="22">
        <v>230.17699999999999</v>
      </c>
      <c r="C1238" s="22"/>
      <c r="D1238" s="22"/>
      <c r="E1238" s="33">
        <v>45721</v>
      </c>
    </row>
    <row r="1239" spans="2:5" x14ac:dyDescent="0.3">
      <c r="B1239" s="22">
        <v>232.131</v>
      </c>
      <c r="C1239" s="22"/>
      <c r="D1239" s="22"/>
      <c r="E1239" s="33">
        <v>45722</v>
      </c>
    </row>
    <row r="1240" spans="2:5" x14ac:dyDescent="0.3">
      <c r="B1240" s="22">
        <v>231.887</v>
      </c>
      <c r="C1240" s="22"/>
      <c r="D1240" s="22"/>
      <c r="E1240" s="33">
        <v>45723</v>
      </c>
    </row>
    <row r="1241" spans="2:5" x14ac:dyDescent="0.3">
      <c r="B1241" s="22">
        <v>230.64599999999999</v>
      </c>
      <c r="C1241" s="22"/>
      <c r="D1241" s="22"/>
      <c r="E1241" s="33">
        <v>45726</v>
      </c>
    </row>
    <row r="1242" spans="2:5" x14ac:dyDescent="0.3">
      <c r="B1242" s="22">
        <v>230.98400000000001</v>
      </c>
      <c r="C1242" s="22"/>
      <c r="D1242" s="22"/>
      <c r="E1242" s="33">
        <v>45727</v>
      </c>
    </row>
    <row r="1243" spans="2:5" x14ac:dyDescent="0.3">
      <c r="B1243" s="22">
        <v>231.00399999999999</v>
      </c>
      <c r="C1243" s="22"/>
      <c r="D1243" s="22"/>
      <c r="E1243" s="33">
        <v>45728</v>
      </c>
    </row>
    <row r="1244" spans="2:5" x14ac:dyDescent="0.3">
      <c r="B1244" s="22">
        <v>230.00200000000001</v>
      </c>
      <c r="C1244" s="22"/>
      <c r="D1244" s="22"/>
      <c r="E1244" s="33">
        <v>45729</v>
      </c>
    </row>
    <row r="1245" spans="2:5" x14ac:dyDescent="0.3">
      <c r="B1245" s="22">
        <v>231.78200000000001</v>
      </c>
      <c r="C1245" s="22"/>
      <c r="D1245" s="22"/>
      <c r="E1245" s="33">
        <v>45733</v>
      </c>
    </row>
    <row r="1246" spans="2:5" x14ac:dyDescent="0.3">
      <c r="B1246" s="22">
        <v>234.886</v>
      </c>
      <c r="C1246" s="22"/>
      <c r="D1246" s="22"/>
      <c r="E1246" s="33">
        <v>45734</v>
      </c>
    </row>
    <row r="1247" spans="2:5" x14ac:dyDescent="0.3">
      <c r="B1247" s="22">
        <v>236.43100000000001</v>
      </c>
      <c r="C1247" s="22"/>
      <c r="D1247" s="22"/>
      <c r="E1247" s="33">
        <v>45735</v>
      </c>
    </row>
    <row r="1248" spans="2:5" x14ac:dyDescent="0.3">
      <c r="B1248" s="22">
        <v>238.36500000000001</v>
      </c>
      <c r="C1248" s="22"/>
      <c r="D1248" s="22"/>
      <c r="E1248" s="33">
        <v>45736</v>
      </c>
    </row>
    <row r="1249" spans="2:5" x14ac:dyDescent="0.3">
      <c r="B1249" s="22">
        <v>240.501</v>
      </c>
      <c r="C1249" s="22"/>
      <c r="D1249" s="22"/>
      <c r="E1249" s="33">
        <v>45737</v>
      </c>
    </row>
    <row r="1250" spans="2:5" x14ac:dyDescent="0.3">
      <c r="B1250" s="22">
        <v>243.422</v>
      </c>
      <c r="C1250" s="22"/>
      <c r="D1250" s="22"/>
      <c r="E1250" s="33">
        <v>45740</v>
      </c>
    </row>
    <row r="1251" spans="2:5" x14ac:dyDescent="0.3">
      <c r="B1251" s="22">
        <v>243.41499999999999</v>
      </c>
      <c r="C1251" s="22"/>
      <c r="D1251" s="22"/>
      <c r="E1251" s="33">
        <v>45741</v>
      </c>
    </row>
    <row r="1252" spans="2:5" x14ac:dyDescent="0.3">
      <c r="B1252" s="22">
        <v>241.55099999999999</v>
      </c>
      <c r="C1252" s="22"/>
      <c r="D1252" s="22"/>
      <c r="E1252" s="33">
        <v>45742</v>
      </c>
    </row>
    <row r="1253" spans="2:5" x14ac:dyDescent="0.3">
      <c r="B1253" s="22">
        <v>242.25800000000001</v>
      </c>
      <c r="C1253" s="22"/>
      <c r="D1253" s="22"/>
      <c r="E1253" s="33">
        <v>45743</v>
      </c>
    </row>
    <row r="1254" spans="2:5" x14ac:dyDescent="0.3">
      <c r="B1254" s="22">
        <v>241.82</v>
      </c>
      <c r="C1254" s="22"/>
      <c r="D1254" s="22"/>
      <c r="E1254" s="33">
        <v>45744</v>
      </c>
    </row>
    <row r="1255" spans="2:5" x14ac:dyDescent="0.3">
      <c r="B1255" s="22">
        <v>241.83</v>
      </c>
      <c r="C1255" s="22"/>
      <c r="D1255" s="22"/>
      <c r="E1255" s="33">
        <v>45747</v>
      </c>
    </row>
    <row r="1256" spans="2:5" x14ac:dyDescent="0.3">
      <c r="B1256" s="22">
        <v>239.672</v>
      </c>
      <c r="C1256" s="22"/>
      <c r="D1256" s="22"/>
      <c r="E1256" s="33">
        <v>45748</v>
      </c>
    </row>
    <row r="1257" spans="2:5" x14ac:dyDescent="0.3">
      <c r="B1257" s="22">
        <v>241.18600000000001</v>
      </c>
      <c r="C1257" s="22"/>
      <c r="D1257" s="22"/>
      <c r="E1257" s="33">
        <v>45749</v>
      </c>
    </row>
    <row r="1258" spans="2:5" x14ac:dyDescent="0.3">
      <c r="B1258" s="22">
        <v>241.03299999999999</v>
      </c>
      <c r="C1258" s="22"/>
      <c r="D1258" s="22"/>
      <c r="E1258" s="33">
        <v>45750</v>
      </c>
    </row>
    <row r="1259" spans="2:5" x14ac:dyDescent="0.3">
      <c r="B1259" s="22">
        <v>238.233</v>
      </c>
      <c r="C1259" s="22"/>
      <c r="D1259" s="22"/>
      <c r="E1259" s="33">
        <v>45751</v>
      </c>
    </row>
    <row r="1260" spans="2:5" x14ac:dyDescent="0.3">
      <c r="B1260" s="22">
        <v>231.48099999999999</v>
      </c>
      <c r="C1260" s="22"/>
      <c r="D1260" s="22"/>
      <c r="E1260" s="33">
        <v>45754</v>
      </c>
    </row>
    <row r="1261" spans="2:5" x14ac:dyDescent="0.3">
      <c r="B1261" s="22">
        <v>234.84700000000001</v>
      </c>
      <c r="C1261" s="22"/>
      <c r="D1261" s="22"/>
      <c r="E1261" s="33">
        <v>45755</v>
      </c>
    </row>
    <row r="1262" spans="2:5" x14ac:dyDescent="0.3">
      <c r="B1262" s="22">
        <v>233.459</v>
      </c>
      <c r="C1262" s="22"/>
      <c r="D1262" s="22"/>
      <c r="E1262" s="33">
        <v>45756</v>
      </c>
    </row>
    <row r="1263" spans="2:5" x14ac:dyDescent="0.3">
      <c r="B1263" s="22">
        <v>237.41499999999999</v>
      </c>
      <c r="C1263" s="22"/>
      <c r="D1263" s="22"/>
      <c r="E1263" s="33">
        <v>45758</v>
      </c>
    </row>
    <row r="1264" spans="2:5" x14ac:dyDescent="0.3">
      <c r="B1264" s="22">
        <v>242.08799999999999</v>
      </c>
      <c r="C1264" s="22"/>
      <c r="D1264" s="22"/>
      <c r="E1264" s="33">
        <v>45762</v>
      </c>
    </row>
    <row r="1265" spans="2:5" x14ac:dyDescent="0.3">
      <c r="B1265" s="22">
        <v>243.61699999999999</v>
      </c>
      <c r="C1265" s="22"/>
      <c r="D1265" s="22"/>
      <c r="E1265" s="33">
        <v>45763</v>
      </c>
    </row>
    <row r="1266" spans="2:5" x14ac:dyDescent="0.3">
      <c r="B1266" s="22">
        <v>246.90299999999999</v>
      </c>
      <c r="C1266" s="22"/>
      <c r="D1266" s="22"/>
      <c r="E1266" s="33">
        <v>45764</v>
      </c>
    </row>
    <row r="1267" spans="2:5" x14ac:dyDescent="0.3">
      <c r="B1267" s="22">
        <v>249.995</v>
      </c>
      <c r="C1267" s="22"/>
      <c r="D1267" s="22"/>
      <c r="E1267" s="33">
        <v>45768</v>
      </c>
    </row>
    <row r="1268" spans="2:5" x14ac:dyDescent="0.3">
      <c r="B1268" s="22">
        <v>250.86500000000001</v>
      </c>
      <c r="C1268" s="22"/>
      <c r="D1268" s="22"/>
      <c r="E1268" s="33">
        <v>45769</v>
      </c>
    </row>
    <row r="1269" spans="2:5" x14ac:dyDescent="0.3">
      <c r="B1269" s="22">
        <v>251.749</v>
      </c>
      <c r="C1269" s="22"/>
      <c r="D1269" s="22"/>
      <c r="E1269" s="33">
        <v>45770</v>
      </c>
    </row>
    <row r="1270" spans="2:5" x14ac:dyDescent="0.3">
      <c r="B1270" s="22">
        <v>250.88499999999999</v>
      </c>
      <c r="C1270" s="22"/>
      <c r="D1270" s="22"/>
      <c r="E1270" s="33">
        <v>45771</v>
      </c>
    </row>
    <row r="1271" spans="2:5" x14ac:dyDescent="0.3">
      <c r="B1271" s="22">
        <v>248.55799999999999</v>
      </c>
      <c r="C1271" s="22"/>
      <c r="D1271" s="22"/>
      <c r="E1271" s="33">
        <v>45772</v>
      </c>
    </row>
    <row r="1272" spans="2:5" x14ac:dyDescent="0.3">
      <c r="B1272" s="22">
        <v>250.59399999999999</v>
      </c>
      <c r="C1272" s="22"/>
      <c r="D1272" s="22"/>
      <c r="E1272" s="33">
        <v>45775</v>
      </c>
    </row>
    <row r="1273" spans="2:5" x14ac:dyDescent="0.3">
      <c r="B1273" s="22">
        <v>250.19200000000001</v>
      </c>
      <c r="C1273" s="22"/>
      <c r="D1273" s="22"/>
      <c r="E1273" s="33">
        <v>45776</v>
      </c>
    </row>
    <row r="1274" spans="2:5" x14ac:dyDescent="0.3">
      <c r="B1274" s="22">
        <v>250.529</v>
      </c>
      <c r="C1274" s="22"/>
      <c r="D1274" s="22"/>
      <c r="E1274" s="33">
        <v>45777</v>
      </c>
    </row>
    <row r="1275" spans="2:5" x14ac:dyDescent="0.3">
      <c r="B1275" s="22">
        <v>250.21</v>
      </c>
      <c r="C1275" s="22"/>
      <c r="D1275" s="22"/>
      <c r="E1275" s="33">
        <v>45779</v>
      </c>
    </row>
  </sheetData>
  <mergeCells count="1">
    <mergeCell ref="G9:H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02A049-DF90-4F4F-91E3-C1D78B09CE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MINNU</dc:creator>
  <cp:lastModifiedBy>MINNU</cp:lastModifiedBy>
  <dcterms:created xsi:type="dcterms:W3CDTF">2025-05-03T03:59:45Z</dcterms:created>
  <dcterms:modified xsi:type="dcterms:W3CDTF">2025-05-03T15:38:38Z</dcterms:modified>
</cp:coreProperties>
</file>